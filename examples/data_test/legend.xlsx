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1" sheetId="1" r:id="rId1"/>
  </sheets>
  <calcPr calcId="152511"/>
</workbook>
</file>

<file path=xl/calcChain.xml><?xml version="1.0" encoding="utf-8"?>
<calcChain xmlns="http://schemas.openxmlformats.org/spreadsheetml/2006/main">
  <c r="BE138" i="1" l="1"/>
  <c r="BF138" i="1"/>
  <c r="BG138" i="1"/>
  <c r="BH138" i="1"/>
  <c r="BI138" i="1"/>
  <c r="BJ138" i="1"/>
  <c r="BK138" i="1"/>
  <c r="BL138" i="1"/>
  <c r="BE139" i="1"/>
  <c r="BF139" i="1"/>
  <c r="BG139" i="1"/>
  <c r="BH139" i="1"/>
  <c r="BI139" i="1"/>
  <c r="BJ139" i="1"/>
  <c r="BK139" i="1"/>
  <c r="BL139" i="1"/>
  <c r="BE140" i="1"/>
  <c r="BF140" i="1"/>
  <c r="BG140" i="1"/>
  <c r="BH140" i="1"/>
  <c r="BI140" i="1"/>
  <c r="BJ140" i="1"/>
  <c r="BK140" i="1"/>
  <c r="BL140" i="1"/>
  <c r="BE141" i="1"/>
  <c r="BF141" i="1"/>
  <c r="BG141" i="1"/>
  <c r="BH141" i="1"/>
  <c r="BI141" i="1"/>
  <c r="BJ141" i="1"/>
  <c r="BK141" i="1"/>
  <c r="BL141" i="1"/>
  <c r="BE142" i="1"/>
  <c r="BF142" i="1"/>
  <c r="BG142" i="1"/>
  <c r="BH142" i="1"/>
  <c r="BI142" i="1"/>
  <c r="BJ142" i="1"/>
  <c r="BK142" i="1"/>
  <c r="BL142" i="1"/>
  <c r="BE143" i="1"/>
  <c r="BF143" i="1"/>
  <c r="BG143" i="1"/>
  <c r="BH143" i="1"/>
  <c r="BI143" i="1"/>
  <c r="BJ143" i="1"/>
  <c r="BK143" i="1"/>
  <c r="BL143" i="1"/>
  <c r="BD143" i="1"/>
  <c r="BD142" i="1"/>
  <c r="BD141" i="1"/>
  <c r="BD140" i="1"/>
  <c r="BD139" i="1"/>
  <c r="BD138" i="1"/>
  <c r="BC110" i="1" l="1"/>
  <c r="BD110" i="1"/>
  <c r="BD119" i="1" s="1"/>
  <c r="BD128" i="1" s="1"/>
  <c r="BD137" i="1" s="1"/>
  <c r="BE110" i="1"/>
  <c r="BE119" i="1" s="1"/>
  <c r="BE128" i="1" s="1"/>
  <c r="BE137" i="1" s="1"/>
  <c r="BF110" i="1"/>
  <c r="BF119" i="1" s="1"/>
  <c r="BF128" i="1" s="1"/>
  <c r="BF137" i="1" s="1"/>
  <c r="BG110" i="1"/>
  <c r="BG119" i="1" s="1"/>
  <c r="BG128" i="1" s="1"/>
  <c r="BG137" i="1" s="1"/>
  <c r="BH110" i="1"/>
  <c r="BH119" i="1" s="1"/>
  <c r="BH128" i="1" s="1"/>
  <c r="BH137" i="1" s="1"/>
  <c r="BI110" i="1"/>
  <c r="BI119" i="1" s="1"/>
  <c r="BI128" i="1" s="1"/>
  <c r="BI137" i="1" s="1"/>
  <c r="BJ110" i="1"/>
  <c r="BJ119" i="1" s="1"/>
  <c r="BJ128" i="1" s="1"/>
  <c r="BJ137" i="1" s="1"/>
  <c r="BK110" i="1"/>
  <c r="BK119" i="1" s="1"/>
  <c r="BK128" i="1" s="1"/>
  <c r="BK137" i="1" s="1"/>
  <c r="BL110" i="1"/>
  <c r="BL119" i="1" s="1"/>
  <c r="BL128" i="1" s="1"/>
  <c r="BL137" i="1" s="1"/>
  <c r="BC111" i="1"/>
  <c r="BC120" i="1" s="1"/>
  <c r="BC129" i="1" s="1"/>
  <c r="BC138" i="1" s="1"/>
  <c r="BD111" i="1"/>
  <c r="BE111" i="1"/>
  <c r="BE120" i="1" s="1"/>
  <c r="BF111" i="1"/>
  <c r="BF120" i="1" s="1"/>
  <c r="BG111" i="1"/>
  <c r="BG120" i="1" s="1"/>
  <c r="BH111" i="1"/>
  <c r="BI111" i="1"/>
  <c r="BI120" i="1" s="1"/>
  <c r="BJ111" i="1"/>
  <c r="BK111" i="1"/>
  <c r="BK120" i="1" s="1"/>
  <c r="BL111" i="1"/>
  <c r="BL129" i="1" s="1"/>
  <c r="BC112" i="1"/>
  <c r="BC121" i="1" s="1"/>
  <c r="BC130" i="1" s="1"/>
  <c r="BC139" i="1" s="1"/>
  <c r="BD112" i="1"/>
  <c r="BE112" i="1"/>
  <c r="BF112" i="1"/>
  <c r="BG112" i="1"/>
  <c r="BH112" i="1"/>
  <c r="BI112" i="1"/>
  <c r="BJ112" i="1"/>
  <c r="BJ130" i="1" s="1"/>
  <c r="BK112" i="1"/>
  <c r="BL112" i="1"/>
  <c r="BC113" i="1"/>
  <c r="BC122" i="1" s="1"/>
  <c r="BC131" i="1" s="1"/>
  <c r="BC140" i="1" s="1"/>
  <c r="BD113" i="1"/>
  <c r="BE113" i="1"/>
  <c r="BF113" i="1"/>
  <c r="BG113" i="1"/>
  <c r="BH113" i="1"/>
  <c r="BH131" i="1" s="1"/>
  <c r="BI113" i="1"/>
  <c r="BJ113" i="1"/>
  <c r="BK113" i="1"/>
  <c r="BL113" i="1"/>
  <c r="BC114" i="1"/>
  <c r="BC123" i="1" s="1"/>
  <c r="BC132" i="1" s="1"/>
  <c r="BC141" i="1" s="1"/>
  <c r="BD114" i="1"/>
  <c r="BE114" i="1"/>
  <c r="BF114" i="1"/>
  <c r="BF132" i="1" s="1"/>
  <c r="BG114" i="1"/>
  <c r="BH114" i="1"/>
  <c r="BH132" i="1" s="1"/>
  <c r="BI114" i="1"/>
  <c r="BJ114" i="1"/>
  <c r="BK114" i="1"/>
  <c r="BL114" i="1"/>
  <c r="BC115" i="1"/>
  <c r="BC124" i="1" s="1"/>
  <c r="BC133" i="1" s="1"/>
  <c r="BC142" i="1" s="1"/>
  <c r="BD115" i="1"/>
  <c r="BD124" i="1" s="1"/>
  <c r="BE115" i="1"/>
  <c r="BE124" i="1" s="1"/>
  <c r="BF115" i="1"/>
  <c r="BF124" i="1" s="1"/>
  <c r="BG115" i="1"/>
  <c r="BH115" i="1"/>
  <c r="BI115" i="1"/>
  <c r="BJ115" i="1"/>
  <c r="BK115" i="1"/>
  <c r="BL115" i="1"/>
  <c r="BL133" i="1" s="1"/>
  <c r="BC116" i="1"/>
  <c r="BC125" i="1" s="1"/>
  <c r="BC134" i="1" s="1"/>
  <c r="BC143" i="1" s="1"/>
  <c r="BD116" i="1"/>
  <c r="BD125" i="1" s="1"/>
  <c r="BE116" i="1"/>
  <c r="BF116" i="1"/>
  <c r="BG116" i="1"/>
  <c r="BH116" i="1"/>
  <c r="BI116" i="1"/>
  <c r="BJ116" i="1"/>
  <c r="BJ134" i="1" s="1"/>
  <c r="BK116" i="1"/>
  <c r="BL116" i="1"/>
  <c r="BL125" i="1" s="1"/>
  <c r="BC127" i="1"/>
  <c r="BJ124" i="1" l="1"/>
  <c r="BD133" i="1"/>
  <c r="BL124" i="1"/>
  <c r="BK134" i="1"/>
  <c r="BL121" i="1"/>
  <c r="BD121" i="1"/>
  <c r="BJ129" i="1"/>
  <c r="BJ125" i="1"/>
  <c r="BD129" i="1"/>
  <c r="BI121" i="1"/>
  <c r="BI134" i="1"/>
  <c r="BK133" i="1"/>
  <c r="BE132" i="1"/>
  <c r="BG131" i="1"/>
  <c r="BL120" i="1"/>
  <c r="BH134" i="1"/>
  <c r="BL132" i="1"/>
  <c r="BF131" i="1"/>
  <c r="BK129" i="1"/>
  <c r="BD120" i="1"/>
  <c r="BI133" i="1"/>
  <c r="BK132" i="1"/>
  <c r="BE131" i="1"/>
  <c r="BG130" i="1"/>
  <c r="BF134" i="1"/>
  <c r="BH133" i="1"/>
  <c r="BJ132" i="1"/>
  <c r="BL131" i="1"/>
  <c r="BD131" i="1"/>
  <c r="BH122" i="1"/>
  <c r="BE134" i="1"/>
  <c r="BG133" i="1"/>
  <c r="BI132" i="1"/>
  <c r="BK131" i="1"/>
  <c r="BE130" i="1"/>
  <c r="BI131" i="1"/>
  <c r="BK130" i="1"/>
  <c r="BD132" i="1"/>
  <c r="BH130" i="1"/>
  <c r="BJ121" i="1"/>
  <c r="BG134" i="1"/>
  <c r="BD130" i="1"/>
  <c r="BE129" i="1"/>
  <c r="BG124" i="1"/>
  <c r="BG123" i="1"/>
  <c r="BE133" i="1"/>
  <c r="BG129" i="1"/>
  <c r="BJ133" i="1"/>
  <c r="BF123" i="1"/>
  <c r="BL134" i="1"/>
  <c r="BI125" i="1"/>
  <c r="BJ120" i="1"/>
  <c r="BI130" i="1"/>
  <c r="BG125" i="1"/>
  <c r="BL123" i="1"/>
  <c r="BE122" i="1"/>
  <c r="BK123" i="1"/>
  <c r="BG122" i="1"/>
  <c r="BK124" i="1"/>
  <c r="BH123" i="1"/>
  <c r="BJ122" i="1"/>
  <c r="BE123" i="1"/>
  <c r="BK125" i="1"/>
  <c r="BI122" i="1"/>
  <c r="BK121" i="1"/>
  <c r="BG132" i="1"/>
  <c r="BI124" i="1"/>
  <c r="BD123" i="1"/>
  <c r="BG121" i="1"/>
  <c r="BK122" i="1"/>
  <c r="BF121" i="1"/>
  <c r="BF133" i="1"/>
  <c r="BL130" i="1"/>
  <c r="BD134" i="1"/>
  <c r="BJ131" i="1"/>
  <c r="BF129" i="1"/>
  <c r="BI123" i="1"/>
  <c r="BH125" i="1"/>
  <c r="BF122" i="1"/>
  <c r="BH121" i="1"/>
  <c r="BH124" i="1"/>
  <c r="BF125" i="1"/>
  <c r="BL122" i="1"/>
  <c r="BI129" i="1"/>
  <c r="BE125" i="1"/>
  <c r="BE121" i="1"/>
  <c r="BJ123" i="1"/>
  <c r="BD122" i="1"/>
  <c r="BH120" i="1"/>
  <c r="BF130" i="1"/>
  <c r="BH129" i="1"/>
  <c r="AN127" i="1"/>
  <c r="AP129" i="1" l="1"/>
  <c r="AQ129" i="1"/>
  <c r="AR129" i="1"/>
  <c r="AS129" i="1"/>
  <c r="AT129" i="1"/>
  <c r="AU129" i="1"/>
  <c r="AV129" i="1"/>
  <c r="AW129" i="1"/>
  <c r="AP130" i="1"/>
  <c r="AQ130" i="1"/>
  <c r="AR130" i="1"/>
  <c r="AS130" i="1"/>
  <c r="AT130" i="1"/>
  <c r="AU130" i="1"/>
  <c r="AV130" i="1"/>
  <c r="AW130" i="1"/>
  <c r="AP131" i="1"/>
  <c r="AQ131" i="1"/>
  <c r="AR131" i="1"/>
  <c r="AS131" i="1"/>
  <c r="AT131" i="1"/>
  <c r="AU131" i="1"/>
  <c r="AV131" i="1"/>
  <c r="AW131" i="1"/>
  <c r="AP132" i="1"/>
  <c r="AQ132" i="1"/>
  <c r="AR132" i="1"/>
  <c r="AS132" i="1"/>
  <c r="AT132" i="1"/>
  <c r="AU132" i="1"/>
  <c r="AV132" i="1"/>
  <c r="AW132" i="1"/>
  <c r="AP133" i="1"/>
  <c r="AQ133" i="1"/>
  <c r="AR133" i="1"/>
  <c r="AS133" i="1"/>
  <c r="AT133" i="1"/>
  <c r="AU133" i="1"/>
  <c r="AV133" i="1"/>
  <c r="AW133" i="1"/>
  <c r="AP134" i="1"/>
  <c r="AQ134" i="1"/>
  <c r="AR134" i="1"/>
  <c r="AS134" i="1"/>
  <c r="AT134" i="1"/>
  <c r="AU134" i="1"/>
  <c r="AV134" i="1"/>
  <c r="AW134" i="1"/>
  <c r="AO130" i="1"/>
  <c r="AO131" i="1"/>
  <c r="AO132" i="1"/>
  <c r="AO133" i="1"/>
  <c r="AO134" i="1"/>
  <c r="AO129" i="1"/>
  <c r="G27" i="1"/>
  <c r="AA27" i="1"/>
  <c r="Q27" i="1"/>
  <c r="AP120" i="1" l="1"/>
  <c r="AQ120" i="1"/>
  <c r="AR120" i="1"/>
  <c r="AS120" i="1"/>
  <c r="AT120" i="1"/>
  <c r="AU120" i="1"/>
  <c r="AV120" i="1"/>
  <c r="AW120" i="1"/>
  <c r="AP121" i="1"/>
  <c r="AQ121" i="1"/>
  <c r="AR121" i="1"/>
  <c r="AS121" i="1"/>
  <c r="AT121" i="1"/>
  <c r="AU121" i="1"/>
  <c r="AV121" i="1"/>
  <c r="AW121" i="1"/>
  <c r="AP122" i="1"/>
  <c r="AQ122" i="1"/>
  <c r="AR122" i="1"/>
  <c r="AS122" i="1"/>
  <c r="AT122" i="1"/>
  <c r="AU122" i="1"/>
  <c r="AV122" i="1"/>
  <c r="AW122" i="1"/>
  <c r="AP123" i="1"/>
  <c r="AQ123" i="1"/>
  <c r="AR123" i="1"/>
  <c r="AS123" i="1"/>
  <c r="AT123" i="1"/>
  <c r="AU123" i="1"/>
  <c r="AV123" i="1"/>
  <c r="AW123" i="1"/>
  <c r="AP124" i="1"/>
  <c r="AQ124" i="1"/>
  <c r="AR124" i="1"/>
  <c r="AS124" i="1"/>
  <c r="AT124" i="1"/>
  <c r="AU124" i="1"/>
  <c r="AV124" i="1"/>
  <c r="AW124" i="1"/>
  <c r="AP125" i="1"/>
  <c r="AQ125" i="1"/>
  <c r="AR125" i="1"/>
  <c r="AS125" i="1"/>
  <c r="AT125" i="1"/>
  <c r="AU125" i="1"/>
  <c r="AV125" i="1"/>
  <c r="AW125" i="1"/>
  <c r="AO121" i="1"/>
  <c r="AO122" i="1"/>
  <c r="AO123" i="1"/>
  <c r="AO124" i="1"/>
  <c r="AO125" i="1"/>
  <c r="AO120" i="1"/>
  <c r="AN134" i="1"/>
  <c r="AN133" i="1"/>
  <c r="AN132" i="1"/>
  <c r="AN131" i="1"/>
  <c r="AN130" i="1"/>
  <c r="AN129" i="1"/>
  <c r="AW128" i="1"/>
  <c r="AV128" i="1"/>
  <c r="AU128" i="1"/>
  <c r="AT128" i="1"/>
  <c r="AS128" i="1"/>
  <c r="AR128" i="1"/>
  <c r="AQ128" i="1"/>
  <c r="AP128" i="1"/>
  <c r="AO128" i="1"/>
  <c r="AP119" i="1"/>
  <c r="AQ119" i="1"/>
  <c r="AR119" i="1"/>
  <c r="AS119" i="1"/>
  <c r="AT119" i="1"/>
  <c r="AU119" i="1"/>
  <c r="AV119" i="1"/>
  <c r="AW119" i="1"/>
  <c r="AO119" i="1"/>
  <c r="AN121" i="1"/>
  <c r="AN122" i="1"/>
  <c r="AN123" i="1"/>
  <c r="AN124" i="1"/>
  <c r="AN125" i="1"/>
  <c r="AN120" i="1"/>
  <c r="AP111" i="1"/>
  <c r="AQ111" i="1"/>
  <c r="AR111" i="1"/>
  <c r="AS111" i="1"/>
  <c r="AT111" i="1"/>
  <c r="AU111" i="1"/>
  <c r="AV111" i="1"/>
  <c r="AW111" i="1"/>
  <c r="AP112" i="1"/>
  <c r="AQ112" i="1"/>
  <c r="AR112" i="1"/>
  <c r="AS112" i="1"/>
  <c r="AT112" i="1"/>
  <c r="AU112" i="1"/>
  <c r="AV112" i="1"/>
  <c r="AW112" i="1"/>
  <c r="AP113" i="1"/>
  <c r="AQ113" i="1"/>
  <c r="AR113" i="1"/>
  <c r="AS113" i="1"/>
  <c r="AT113" i="1"/>
  <c r="AU113" i="1"/>
  <c r="AV113" i="1"/>
  <c r="AW113" i="1"/>
  <c r="AP114" i="1"/>
  <c r="AQ114" i="1"/>
  <c r="AR114" i="1"/>
  <c r="AS114" i="1"/>
  <c r="AT114" i="1"/>
  <c r="AU114" i="1"/>
  <c r="AV114" i="1"/>
  <c r="AW114" i="1"/>
  <c r="AP115" i="1"/>
  <c r="AQ115" i="1"/>
  <c r="AR115" i="1"/>
  <c r="AS115" i="1"/>
  <c r="AT115" i="1"/>
  <c r="AU115" i="1"/>
  <c r="AV115" i="1"/>
  <c r="AW115" i="1"/>
  <c r="AP116" i="1"/>
  <c r="AQ116" i="1"/>
  <c r="AR116" i="1"/>
  <c r="AS116" i="1"/>
  <c r="AT116" i="1"/>
  <c r="AU116" i="1"/>
  <c r="AV116" i="1"/>
  <c r="AW116" i="1"/>
  <c r="AO112" i="1"/>
  <c r="AO113" i="1"/>
  <c r="AO114" i="1"/>
  <c r="AO115" i="1"/>
  <c r="AO116" i="1"/>
  <c r="AO111" i="1"/>
  <c r="AA120" i="1"/>
  <c r="AB120" i="1"/>
  <c r="AC120" i="1"/>
  <c r="AD120" i="1"/>
  <c r="AE120" i="1"/>
  <c r="AF120" i="1"/>
  <c r="AG120" i="1"/>
  <c r="AH120" i="1"/>
  <c r="AI120" i="1"/>
  <c r="AJ120" i="1"/>
  <c r="AA121" i="1"/>
  <c r="AB121" i="1"/>
  <c r="AC121" i="1"/>
  <c r="AD121" i="1"/>
  <c r="AE121" i="1"/>
  <c r="AF121" i="1"/>
  <c r="AG121" i="1"/>
  <c r="AH121" i="1"/>
  <c r="AI121" i="1"/>
  <c r="AJ121" i="1"/>
  <c r="AA122" i="1"/>
  <c r="AB122" i="1"/>
  <c r="AC122" i="1"/>
  <c r="AD122" i="1"/>
  <c r="AE122" i="1"/>
  <c r="AF122" i="1"/>
  <c r="AG122" i="1"/>
  <c r="AH122" i="1"/>
  <c r="AI122" i="1"/>
  <c r="AJ122" i="1"/>
  <c r="AA123" i="1"/>
  <c r="AB123" i="1"/>
  <c r="AC123" i="1"/>
  <c r="AD123" i="1"/>
  <c r="AE123" i="1"/>
  <c r="AF123" i="1"/>
  <c r="AG123" i="1"/>
  <c r="AH123" i="1"/>
  <c r="AI123" i="1"/>
  <c r="AJ123" i="1"/>
  <c r="AA124" i="1"/>
  <c r="AB124" i="1"/>
  <c r="AC124" i="1"/>
  <c r="AD124" i="1"/>
  <c r="AE124" i="1"/>
  <c r="AF124" i="1"/>
  <c r="AG124" i="1"/>
  <c r="AH124" i="1"/>
  <c r="AI124" i="1"/>
  <c r="AJ124" i="1"/>
  <c r="AA125" i="1"/>
  <c r="AB125" i="1"/>
  <c r="AC125" i="1"/>
  <c r="AD125" i="1"/>
  <c r="AE125" i="1"/>
  <c r="AF125" i="1"/>
  <c r="AG125" i="1"/>
  <c r="AH125" i="1"/>
  <c r="AI125" i="1"/>
  <c r="AJ125" i="1"/>
  <c r="AB119" i="1"/>
  <c r="AC119" i="1"/>
  <c r="AD119" i="1"/>
  <c r="AE119" i="1"/>
  <c r="AF119" i="1"/>
  <c r="AG119" i="1"/>
  <c r="AH119" i="1"/>
  <c r="AI119" i="1"/>
  <c r="AJ119" i="1"/>
  <c r="AA119" i="1"/>
  <c r="AN112" i="1"/>
  <c r="AN113" i="1"/>
  <c r="AN114" i="1"/>
  <c r="AN115" i="1"/>
  <c r="AN116" i="1"/>
  <c r="AP110" i="1"/>
  <c r="AQ110" i="1"/>
  <c r="AR110" i="1"/>
  <c r="AS110" i="1"/>
  <c r="AT110" i="1"/>
  <c r="AU110" i="1"/>
  <c r="AV110" i="1"/>
  <c r="AW110" i="1"/>
  <c r="AO110" i="1"/>
  <c r="AN111" i="1"/>
  <c r="BD41" i="1" l="1"/>
  <c r="BD42" i="1"/>
  <c r="BD43" i="1"/>
  <c r="BD44" i="1"/>
  <c r="BD45" i="1"/>
  <c r="BD46" i="1"/>
  <c r="BD47" i="1"/>
  <c r="BD48" i="1"/>
  <c r="BD49" i="1"/>
  <c r="BD50" i="1"/>
  <c r="BD51" i="1"/>
  <c r="BD52" i="1"/>
  <c r="BD54" i="1"/>
  <c r="BD55" i="1"/>
  <c r="BD56" i="1"/>
  <c r="BD57" i="1"/>
  <c r="BD58" i="1"/>
  <c r="BD59" i="1"/>
  <c r="BD60" i="1"/>
  <c r="BD61" i="1"/>
  <c r="BD62" i="1"/>
  <c r="BD63" i="1"/>
  <c r="BD64" i="1"/>
  <c r="BD65" i="1"/>
  <c r="BD67" i="1"/>
  <c r="BD68" i="1"/>
  <c r="BD69" i="1"/>
  <c r="BD70" i="1"/>
  <c r="BD71" i="1"/>
  <c r="BD72" i="1"/>
  <c r="BD73" i="1"/>
  <c r="BD74" i="1"/>
  <c r="BD75" i="1"/>
  <c r="BD76" i="1"/>
  <c r="BD77" i="1"/>
  <c r="BD78" i="1"/>
  <c r="BD80" i="1"/>
  <c r="BD81" i="1"/>
  <c r="BD82" i="1"/>
  <c r="BD83" i="1"/>
  <c r="BD84" i="1"/>
  <c r="BD85" i="1"/>
  <c r="BD86" i="1"/>
  <c r="BD87" i="1"/>
  <c r="BD88" i="1"/>
  <c r="BD89" i="1"/>
  <c r="BD90" i="1"/>
  <c r="BD91" i="1"/>
  <c r="BD93" i="1"/>
  <c r="BD94" i="1"/>
  <c r="BD95" i="1"/>
  <c r="BD96" i="1"/>
  <c r="BD97" i="1"/>
  <c r="BD98" i="1"/>
  <c r="BD99" i="1"/>
  <c r="BD100" i="1"/>
  <c r="BD101" i="1"/>
  <c r="BD102" i="1"/>
  <c r="BD103" i="1"/>
  <c r="BD104" i="1"/>
  <c r="BD29" i="1"/>
  <c r="BD30" i="1"/>
  <c r="BD31" i="1"/>
  <c r="BD32" i="1"/>
  <c r="BD33" i="1"/>
  <c r="BD34" i="1"/>
  <c r="BD35" i="1"/>
  <c r="BD36" i="1"/>
  <c r="BD37" i="1"/>
  <c r="BD38" i="1"/>
  <c r="BD39" i="1"/>
  <c r="BF27" i="1"/>
  <c r="BG27" i="1"/>
  <c r="BH27" i="1"/>
  <c r="BI27" i="1"/>
  <c r="BJ27" i="1"/>
  <c r="BK27" i="1"/>
  <c r="BL27" i="1"/>
  <c r="BM27" i="1"/>
  <c r="BE27" i="1"/>
  <c r="BD28" i="1"/>
  <c r="R111" i="1" l="1"/>
  <c r="S111" i="1"/>
  <c r="T111" i="1"/>
  <c r="U111" i="1"/>
  <c r="V111" i="1"/>
  <c r="W111" i="1"/>
  <c r="X111" i="1"/>
  <c r="Y111" i="1"/>
  <c r="AA111" i="1"/>
  <c r="AB111" i="1"/>
  <c r="AC111" i="1"/>
  <c r="AD111" i="1"/>
  <c r="AE111" i="1"/>
  <c r="AF111" i="1"/>
  <c r="AG111" i="1"/>
  <c r="AH111" i="1"/>
  <c r="AI111" i="1"/>
  <c r="R112" i="1"/>
  <c r="S112" i="1"/>
  <c r="T112" i="1"/>
  <c r="U112" i="1"/>
  <c r="V112" i="1"/>
  <c r="W112" i="1"/>
  <c r="X112" i="1"/>
  <c r="Y112" i="1"/>
  <c r="AA112" i="1"/>
  <c r="AB112" i="1"/>
  <c r="AC112" i="1"/>
  <c r="AD112" i="1"/>
  <c r="AE112" i="1"/>
  <c r="AF112" i="1"/>
  <c r="AG112" i="1"/>
  <c r="AH112" i="1"/>
  <c r="AI112" i="1"/>
  <c r="R113" i="1"/>
  <c r="S113" i="1"/>
  <c r="T113" i="1"/>
  <c r="U113" i="1"/>
  <c r="V113" i="1"/>
  <c r="W113" i="1"/>
  <c r="X113" i="1"/>
  <c r="Y113" i="1"/>
  <c r="AA113" i="1"/>
  <c r="AB113" i="1"/>
  <c r="AC113" i="1"/>
  <c r="AD113" i="1"/>
  <c r="AE113" i="1"/>
  <c r="AF113" i="1"/>
  <c r="AG113" i="1"/>
  <c r="AH113" i="1"/>
  <c r="AI113" i="1"/>
  <c r="R114" i="1"/>
  <c r="S114" i="1"/>
  <c r="T114" i="1"/>
  <c r="U114" i="1"/>
  <c r="V114" i="1"/>
  <c r="W114" i="1"/>
  <c r="X114" i="1"/>
  <c r="Y114" i="1"/>
  <c r="AA114" i="1"/>
  <c r="AB114" i="1"/>
  <c r="AC114" i="1"/>
  <c r="AD114" i="1"/>
  <c r="AE114" i="1"/>
  <c r="AF114" i="1"/>
  <c r="AG114" i="1"/>
  <c r="AH114" i="1"/>
  <c r="AI114" i="1"/>
  <c r="R115" i="1"/>
  <c r="S115" i="1"/>
  <c r="T115" i="1"/>
  <c r="U115" i="1"/>
  <c r="V115" i="1"/>
  <c r="W115" i="1"/>
  <c r="X115" i="1"/>
  <c r="Y115" i="1"/>
  <c r="AA115" i="1"/>
  <c r="AB115" i="1"/>
  <c r="AC115" i="1"/>
  <c r="AD115" i="1"/>
  <c r="AE115" i="1"/>
  <c r="AF115" i="1"/>
  <c r="AG115" i="1"/>
  <c r="AH115" i="1"/>
  <c r="AI115" i="1"/>
  <c r="R116" i="1"/>
  <c r="S116" i="1"/>
  <c r="T116" i="1"/>
  <c r="U116" i="1"/>
  <c r="V116" i="1"/>
  <c r="W116" i="1"/>
  <c r="X116" i="1"/>
  <c r="Y116" i="1"/>
  <c r="AA116" i="1"/>
  <c r="AB116" i="1"/>
  <c r="AC116" i="1"/>
  <c r="AD116" i="1"/>
  <c r="AE116" i="1"/>
  <c r="AF116" i="1"/>
  <c r="AG116" i="1"/>
  <c r="AH116" i="1"/>
  <c r="AI116" i="1"/>
  <c r="Q112" i="1"/>
  <c r="Q113" i="1"/>
  <c r="Q114" i="1"/>
  <c r="Q115" i="1"/>
  <c r="Q116" i="1"/>
  <c r="Q111" i="1"/>
  <c r="BH26" i="1" l="1"/>
  <c r="CC41" i="1" l="1"/>
  <c r="CD41" i="1"/>
  <c r="CE41" i="1"/>
  <c r="CC42" i="1"/>
  <c r="CD42" i="1"/>
  <c r="CE42" i="1"/>
  <c r="CC43" i="1"/>
  <c r="CD43" i="1"/>
  <c r="CE43" i="1"/>
  <c r="CC44" i="1"/>
  <c r="CD44" i="1"/>
  <c r="CE44" i="1"/>
  <c r="CC45" i="1"/>
  <c r="CD45" i="1"/>
  <c r="CE45" i="1"/>
  <c r="CC46" i="1"/>
  <c r="CD46" i="1"/>
  <c r="CE46" i="1"/>
  <c r="CC47" i="1"/>
  <c r="CD47" i="1"/>
  <c r="CE47" i="1"/>
  <c r="CC48" i="1"/>
  <c r="CD48" i="1"/>
  <c r="CE48" i="1"/>
  <c r="CC49" i="1"/>
  <c r="CD49" i="1"/>
  <c r="CE49" i="1"/>
  <c r="CC50" i="1"/>
  <c r="CD50" i="1"/>
  <c r="CE50" i="1"/>
  <c r="CC51" i="1"/>
  <c r="CD51" i="1"/>
  <c r="CE51" i="1"/>
  <c r="CC52" i="1"/>
  <c r="CD52" i="1"/>
  <c r="CE52" i="1"/>
  <c r="CC54" i="1"/>
  <c r="CD54" i="1"/>
  <c r="CE54" i="1"/>
  <c r="CC55" i="1"/>
  <c r="CD55" i="1"/>
  <c r="CE55" i="1"/>
  <c r="CC56" i="1"/>
  <c r="CD56" i="1"/>
  <c r="CE56" i="1"/>
  <c r="CC57" i="1"/>
  <c r="CD57" i="1"/>
  <c r="CE57" i="1"/>
  <c r="CC58" i="1"/>
  <c r="CD58" i="1"/>
  <c r="CE58" i="1"/>
  <c r="CC59" i="1"/>
  <c r="CD59" i="1"/>
  <c r="CE59" i="1"/>
  <c r="CC60" i="1"/>
  <c r="CD60" i="1"/>
  <c r="CE60" i="1"/>
  <c r="CC61" i="1"/>
  <c r="CD61" i="1"/>
  <c r="CE61" i="1"/>
  <c r="CC62" i="1"/>
  <c r="CD62" i="1"/>
  <c r="CE62" i="1"/>
  <c r="CC63" i="1"/>
  <c r="CD63" i="1"/>
  <c r="CE63" i="1"/>
  <c r="CC64" i="1"/>
  <c r="CD64" i="1"/>
  <c r="CE64" i="1"/>
  <c r="CC65" i="1"/>
  <c r="CD65" i="1"/>
  <c r="CE65" i="1"/>
  <c r="CC67" i="1"/>
  <c r="CD67" i="1"/>
  <c r="CE67" i="1"/>
  <c r="CC68" i="1"/>
  <c r="CD68" i="1"/>
  <c r="CE68" i="1"/>
  <c r="CC69" i="1"/>
  <c r="CD69" i="1"/>
  <c r="CE69" i="1"/>
  <c r="CC70" i="1"/>
  <c r="CD70" i="1"/>
  <c r="CE70" i="1"/>
  <c r="CC71" i="1"/>
  <c r="CD71" i="1"/>
  <c r="CE71" i="1"/>
  <c r="CC72" i="1"/>
  <c r="CD72" i="1"/>
  <c r="CE72" i="1"/>
  <c r="CC73" i="1"/>
  <c r="CD73" i="1"/>
  <c r="CE73" i="1"/>
  <c r="CC74" i="1"/>
  <c r="CD74" i="1"/>
  <c r="CE74" i="1"/>
  <c r="CC75" i="1"/>
  <c r="CD75" i="1"/>
  <c r="CE75" i="1"/>
  <c r="CC76" i="1"/>
  <c r="CD76" i="1"/>
  <c r="CE76" i="1"/>
  <c r="CC77" i="1"/>
  <c r="CD77" i="1"/>
  <c r="CE77" i="1"/>
  <c r="CC78" i="1"/>
  <c r="CD78" i="1"/>
  <c r="CE78" i="1"/>
  <c r="CC80" i="1"/>
  <c r="CD80" i="1"/>
  <c r="CE80" i="1"/>
  <c r="CC81" i="1"/>
  <c r="CD81" i="1"/>
  <c r="CE81" i="1"/>
  <c r="CC82" i="1"/>
  <c r="CD82" i="1"/>
  <c r="CE82" i="1"/>
  <c r="CC83" i="1"/>
  <c r="CD83" i="1"/>
  <c r="CE83" i="1"/>
  <c r="CC84" i="1"/>
  <c r="CD84" i="1"/>
  <c r="CE84" i="1"/>
  <c r="CC85" i="1"/>
  <c r="CD85" i="1"/>
  <c r="CE85" i="1"/>
  <c r="CC86" i="1"/>
  <c r="CD86" i="1"/>
  <c r="CE86" i="1"/>
  <c r="CC87" i="1"/>
  <c r="CD87" i="1"/>
  <c r="CE87" i="1"/>
  <c r="CC88" i="1"/>
  <c r="CD88" i="1"/>
  <c r="CE88" i="1"/>
  <c r="CC89" i="1"/>
  <c r="CD89" i="1"/>
  <c r="CE89" i="1"/>
  <c r="CC90" i="1"/>
  <c r="CD90" i="1"/>
  <c r="CE90" i="1"/>
  <c r="CC91" i="1"/>
  <c r="CD91" i="1"/>
  <c r="CE91" i="1"/>
  <c r="CC93" i="1"/>
  <c r="CD93" i="1"/>
  <c r="CE93" i="1"/>
  <c r="CC94" i="1"/>
  <c r="CD94" i="1"/>
  <c r="CE94" i="1"/>
  <c r="CC95" i="1"/>
  <c r="CD95" i="1"/>
  <c r="CE95" i="1"/>
  <c r="CC96" i="1"/>
  <c r="CD96" i="1"/>
  <c r="CE96" i="1"/>
  <c r="CC97" i="1"/>
  <c r="CD97" i="1"/>
  <c r="CE97" i="1"/>
  <c r="CC98" i="1"/>
  <c r="CD98" i="1"/>
  <c r="CE98" i="1"/>
  <c r="CC99" i="1"/>
  <c r="CD99" i="1"/>
  <c r="CE99" i="1"/>
  <c r="CC100" i="1"/>
  <c r="CD100" i="1"/>
  <c r="CE100" i="1"/>
  <c r="CC101" i="1"/>
  <c r="CD101" i="1"/>
  <c r="CE101" i="1"/>
  <c r="CC102" i="1"/>
  <c r="CD102" i="1"/>
  <c r="CE102" i="1"/>
  <c r="CC103" i="1"/>
  <c r="CD103" i="1"/>
  <c r="CE103" i="1"/>
  <c r="CC104" i="1"/>
  <c r="CD104" i="1"/>
  <c r="CE104" i="1"/>
  <c r="CC29" i="1"/>
  <c r="CD29" i="1"/>
  <c r="CE29" i="1"/>
  <c r="CC30" i="1"/>
  <c r="CD30" i="1"/>
  <c r="CE30" i="1"/>
  <c r="CC31" i="1"/>
  <c r="CD31" i="1"/>
  <c r="CE31" i="1"/>
  <c r="CC32" i="1"/>
  <c r="CD32" i="1"/>
  <c r="CE32" i="1"/>
  <c r="CC33" i="1"/>
  <c r="CD33" i="1"/>
  <c r="CE33" i="1"/>
  <c r="CC34" i="1"/>
  <c r="CD34" i="1"/>
  <c r="CE34" i="1"/>
  <c r="CC35" i="1"/>
  <c r="CD35" i="1"/>
  <c r="CE35" i="1"/>
  <c r="CC36" i="1"/>
  <c r="CD36" i="1"/>
  <c r="CE36" i="1"/>
  <c r="CC37" i="1"/>
  <c r="CD37" i="1"/>
  <c r="CE37" i="1"/>
  <c r="CC38" i="1"/>
  <c r="CD38" i="1"/>
  <c r="CE38" i="1"/>
  <c r="CC39" i="1"/>
  <c r="CD39" i="1"/>
  <c r="CE39" i="1"/>
  <c r="CD28" i="1"/>
  <c r="CE28" i="1"/>
  <c r="CC28" i="1"/>
  <c r="CG27" i="1"/>
  <c r="CH27" i="1"/>
  <c r="CI27" i="1"/>
  <c r="CJ27" i="1"/>
  <c r="CK27" i="1"/>
  <c r="CL27" i="1"/>
  <c r="CM27" i="1"/>
  <c r="CN27" i="1"/>
  <c r="CF27" i="1"/>
  <c r="BS27" i="1"/>
  <c r="BT27" i="1"/>
  <c r="BU27" i="1"/>
  <c r="BV27" i="1"/>
  <c r="BW27" i="1"/>
  <c r="BX27" i="1"/>
  <c r="BY27" i="1"/>
  <c r="BZ27" i="1"/>
  <c r="BR27" i="1"/>
  <c r="BO41" i="1"/>
  <c r="BP41" i="1"/>
  <c r="BQ41" i="1"/>
  <c r="BO42" i="1"/>
  <c r="BP42" i="1"/>
  <c r="BQ42" i="1"/>
  <c r="BO43" i="1"/>
  <c r="BP43" i="1"/>
  <c r="BQ43" i="1"/>
  <c r="BO44" i="1"/>
  <c r="BP44" i="1"/>
  <c r="BQ44" i="1"/>
  <c r="BO45" i="1"/>
  <c r="BP45" i="1"/>
  <c r="BQ45" i="1"/>
  <c r="BO46" i="1"/>
  <c r="BP46" i="1"/>
  <c r="BQ46" i="1"/>
  <c r="BO47" i="1"/>
  <c r="BP47" i="1"/>
  <c r="BQ47" i="1"/>
  <c r="BO48" i="1"/>
  <c r="BP48" i="1"/>
  <c r="BQ48" i="1"/>
  <c r="BO49" i="1"/>
  <c r="BP49" i="1"/>
  <c r="BQ49" i="1"/>
  <c r="BO50" i="1"/>
  <c r="BP50" i="1"/>
  <c r="BQ50" i="1"/>
  <c r="BO51" i="1"/>
  <c r="BP51" i="1"/>
  <c r="BQ51" i="1"/>
  <c r="BO52" i="1"/>
  <c r="BP52" i="1"/>
  <c r="BQ52" i="1"/>
  <c r="BO54" i="1"/>
  <c r="BP54" i="1"/>
  <c r="BQ54" i="1"/>
  <c r="BO55" i="1"/>
  <c r="BP55" i="1"/>
  <c r="BQ55" i="1"/>
  <c r="BO56" i="1"/>
  <c r="BP56" i="1"/>
  <c r="BQ56" i="1"/>
  <c r="BO57" i="1"/>
  <c r="BP57" i="1"/>
  <c r="BQ57" i="1"/>
  <c r="BO58" i="1"/>
  <c r="BP58" i="1"/>
  <c r="BQ58" i="1"/>
  <c r="BO59" i="1"/>
  <c r="BP59" i="1"/>
  <c r="BQ59" i="1"/>
  <c r="BO60" i="1"/>
  <c r="BP60" i="1"/>
  <c r="BQ60" i="1"/>
  <c r="BO61" i="1"/>
  <c r="BP61" i="1"/>
  <c r="BQ61" i="1"/>
  <c r="BO62" i="1"/>
  <c r="BP62" i="1"/>
  <c r="BQ62" i="1"/>
  <c r="BO63" i="1"/>
  <c r="BP63" i="1"/>
  <c r="BQ63" i="1"/>
  <c r="BO64" i="1"/>
  <c r="BP64" i="1"/>
  <c r="BQ64" i="1"/>
  <c r="BO65" i="1"/>
  <c r="BP65" i="1"/>
  <c r="BQ65" i="1"/>
  <c r="BO67" i="1"/>
  <c r="BP67" i="1"/>
  <c r="BQ67" i="1"/>
  <c r="BO68" i="1"/>
  <c r="BP68" i="1"/>
  <c r="BQ68" i="1"/>
  <c r="BO69" i="1"/>
  <c r="BP69" i="1"/>
  <c r="BQ69" i="1"/>
  <c r="BO70" i="1"/>
  <c r="BP70" i="1"/>
  <c r="BQ70" i="1"/>
  <c r="BO71" i="1"/>
  <c r="BP71" i="1"/>
  <c r="BQ71" i="1"/>
  <c r="BO72" i="1"/>
  <c r="BP72" i="1"/>
  <c r="BQ72" i="1"/>
  <c r="BO73" i="1"/>
  <c r="BP73" i="1"/>
  <c r="BQ73" i="1"/>
  <c r="BO74" i="1"/>
  <c r="BP74" i="1"/>
  <c r="BQ74" i="1"/>
  <c r="BO75" i="1"/>
  <c r="BP75" i="1"/>
  <c r="BQ75" i="1"/>
  <c r="BO76" i="1"/>
  <c r="BP76" i="1"/>
  <c r="BQ76" i="1"/>
  <c r="BO77" i="1"/>
  <c r="BP77" i="1"/>
  <c r="BQ77" i="1"/>
  <c r="BO78" i="1"/>
  <c r="BP78" i="1"/>
  <c r="BQ78" i="1"/>
  <c r="BO80" i="1"/>
  <c r="BP80" i="1"/>
  <c r="BQ80" i="1"/>
  <c r="BO81" i="1"/>
  <c r="BP81" i="1"/>
  <c r="BQ81" i="1"/>
  <c r="BO82" i="1"/>
  <c r="BP82" i="1"/>
  <c r="BQ82" i="1"/>
  <c r="BO83" i="1"/>
  <c r="BP83" i="1"/>
  <c r="BQ83" i="1"/>
  <c r="BO84" i="1"/>
  <c r="BP84" i="1"/>
  <c r="BQ84" i="1"/>
  <c r="BO85" i="1"/>
  <c r="BP85" i="1"/>
  <c r="BQ85" i="1"/>
  <c r="BO86" i="1"/>
  <c r="BP86" i="1"/>
  <c r="BQ86" i="1"/>
  <c r="BO87" i="1"/>
  <c r="BP87" i="1"/>
  <c r="BQ87" i="1"/>
  <c r="BO88" i="1"/>
  <c r="BP88" i="1"/>
  <c r="BQ88" i="1"/>
  <c r="BO89" i="1"/>
  <c r="BP89" i="1"/>
  <c r="BQ89" i="1"/>
  <c r="BO90" i="1"/>
  <c r="BP90" i="1"/>
  <c r="BQ90" i="1"/>
  <c r="BO91" i="1"/>
  <c r="BP91" i="1"/>
  <c r="BQ91" i="1"/>
  <c r="BO93" i="1"/>
  <c r="BP93" i="1"/>
  <c r="BQ93" i="1"/>
  <c r="BO94" i="1"/>
  <c r="BP94" i="1"/>
  <c r="BQ94" i="1"/>
  <c r="BO95" i="1"/>
  <c r="BP95" i="1"/>
  <c r="BQ95" i="1"/>
  <c r="BO96" i="1"/>
  <c r="BP96" i="1"/>
  <c r="BQ96" i="1"/>
  <c r="BO97" i="1"/>
  <c r="BP97" i="1"/>
  <c r="BQ97" i="1"/>
  <c r="BO98" i="1"/>
  <c r="BP98" i="1"/>
  <c r="BQ98" i="1"/>
  <c r="BO99" i="1"/>
  <c r="BP99" i="1"/>
  <c r="BQ99" i="1"/>
  <c r="BO100" i="1"/>
  <c r="BP100" i="1"/>
  <c r="BQ100" i="1"/>
  <c r="BO101" i="1"/>
  <c r="BP101" i="1"/>
  <c r="BQ101" i="1"/>
  <c r="BO102" i="1"/>
  <c r="BP102" i="1"/>
  <c r="BQ102" i="1"/>
  <c r="BO103" i="1"/>
  <c r="BP103" i="1"/>
  <c r="BQ103" i="1"/>
  <c r="BO104" i="1"/>
  <c r="BP104" i="1"/>
  <c r="BQ104" i="1"/>
  <c r="BO29" i="1"/>
  <c r="BP29" i="1"/>
  <c r="BQ29" i="1"/>
  <c r="BO30" i="1"/>
  <c r="BP30" i="1"/>
  <c r="BQ30" i="1"/>
  <c r="BO31" i="1"/>
  <c r="BP31" i="1"/>
  <c r="BQ31" i="1"/>
  <c r="BO32" i="1"/>
  <c r="BP32" i="1"/>
  <c r="BQ32" i="1"/>
  <c r="BO33" i="1"/>
  <c r="BP33" i="1"/>
  <c r="BQ33" i="1"/>
  <c r="BO34" i="1"/>
  <c r="BP34" i="1"/>
  <c r="BQ34" i="1"/>
  <c r="BO35" i="1"/>
  <c r="BP35" i="1"/>
  <c r="BQ35" i="1"/>
  <c r="BO36" i="1"/>
  <c r="BP36" i="1"/>
  <c r="BQ36" i="1"/>
  <c r="BO37" i="1"/>
  <c r="BP37" i="1"/>
  <c r="BQ37" i="1"/>
  <c r="BO38" i="1"/>
  <c r="BP38" i="1"/>
  <c r="BQ38" i="1"/>
  <c r="BO39" i="1"/>
  <c r="BP39" i="1"/>
  <c r="BQ39" i="1"/>
  <c r="BP28" i="1"/>
  <c r="BQ28" i="1"/>
  <c r="BO28" i="1"/>
  <c r="C94" i="1"/>
  <c r="C95" i="1"/>
  <c r="C96" i="1"/>
  <c r="C97" i="1"/>
  <c r="C98" i="1"/>
  <c r="C99" i="1"/>
  <c r="C100" i="1"/>
  <c r="C101" i="1"/>
  <c r="C102" i="1"/>
  <c r="C103" i="1"/>
  <c r="C104" i="1"/>
  <c r="C93" i="1"/>
  <c r="C81" i="1"/>
  <c r="C82" i="1"/>
  <c r="C83" i="1"/>
  <c r="C84" i="1"/>
  <c r="C85" i="1"/>
  <c r="C86" i="1"/>
  <c r="C87" i="1"/>
  <c r="C88" i="1"/>
  <c r="C89" i="1"/>
  <c r="C90" i="1"/>
  <c r="C91" i="1"/>
  <c r="C80" i="1"/>
  <c r="C68" i="1"/>
  <c r="C69" i="1"/>
  <c r="C70" i="1"/>
  <c r="C71" i="1"/>
  <c r="C72" i="1"/>
  <c r="C73" i="1"/>
  <c r="C74" i="1"/>
  <c r="C75" i="1"/>
  <c r="C76" i="1"/>
  <c r="C77" i="1"/>
  <c r="C78" i="1"/>
  <c r="C67" i="1"/>
  <c r="C55" i="1"/>
  <c r="C56" i="1"/>
  <c r="C57" i="1"/>
  <c r="C58" i="1"/>
  <c r="C59" i="1"/>
  <c r="C60" i="1"/>
  <c r="C61" i="1"/>
  <c r="C62" i="1"/>
  <c r="C63" i="1"/>
  <c r="C64" i="1"/>
  <c r="C65" i="1"/>
  <c r="C54" i="1"/>
  <c r="C42" i="1"/>
  <c r="C43" i="1"/>
  <c r="C44" i="1"/>
  <c r="C45" i="1"/>
  <c r="C46" i="1"/>
  <c r="C47" i="1"/>
  <c r="C48" i="1"/>
  <c r="C49" i="1"/>
  <c r="C50" i="1"/>
  <c r="C51" i="1"/>
  <c r="C52" i="1"/>
  <c r="C41" i="1"/>
  <c r="C29" i="1"/>
  <c r="C30" i="1"/>
  <c r="C31" i="1"/>
  <c r="C32" i="1"/>
  <c r="C33" i="1"/>
  <c r="C34" i="1"/>
  <c r="C35" i="1"/>
  <c r="C36" i="1"/>
  <c r="C37" i="1"/>
  <c r="C38" i="1"/>
  <c r="C39" i="1"/>
  <c r="C28" i="1"/>
  <c r="BT26" i="1"/>
  <c r="BS26" i="1" s="1"/>
  <c r="BR26" i="1" l="1"/>
  <c r="BG26" i="1"/>
  <c r="AI104" i="1"/>
  <c r="AH104" i="1"/>
  <c r="AG104" i="1"/>
  <c r="AF104" i="1"/>
  <c r="AE104" i="1"/>
  <c r="AD104" i="1"/>
  <c r="AC104" i="1"/>
  <c r="AB104" i="1"/>
  <c r="AA104" i="1"/>
  <c r="AI103" i="1"/>
  <c r="AH103" i="1"/>
  <c r="AG103" i="1"/>
  <c r="AF103" i="1"/>
  <c r="AE103" i="1"/>
  <c r="AD103" i="1"/>
  <c r="AC103" i="1"/>
  <c r="AB103" i="1"/>
  <c r="AA103" i="1"/>
  <c r="AI102" i="1"/>
  <c r="AH102" i="1"/>
  <c r="AG102" i="1"/>
  <c r="AF102" i="1"/>
  <c r="AE102" i="1"/>
  <c r="AD102" i="1"/>
  <c r="AC102" i="1"/>
  <c r="AB102" i="1"/>
  <c r="AA102" i="1"/>
  <c r="AI101" i="1"/>
  <c r="AH101" i="1"/>
  <c r="AG101" i="1"/>
  <c r="AF101" i="1"/>
  <c r="AE101" i="1"/>
  <c r="AD101" i="1"/>
  <c r="AC101" i="1"/>
  <c r="AB101" i="1"/>
  <c r="AA101" i="1"/>
  <c r="Y101" i="1"/>
  <c r="X101" i="1"/>
  <c r="W101" i="1"/>
  <c r="V101" i="1"/>
  <c r="U101" i="1"/>
  <c r="T101" i="1"/>
  <c r="S101" i="1"/>
  <c r="R101" i="1"/>
  <c r="Q101" i="1"/>
  <c r="AI100" i="1"/>
  <c r="AH100" i="1"/>
  <c r="AG100" i="1"/>
  <c r="AF100" i="1"/>
  <c r="AE100" i="1"/>
  <c r="AD100" i="1"/>
  <c r="AC100" i="1"/>
  <c r="AB100" i="1"/>
  <c r="AA100" i="1"/>
  <c r="AI99" i="1"/>
  <c r="AH99" i="1"/>
  <c r="AG99" i="1"/>
  <c r="AF99" i="1"/>
  <c r="AE99" i="1"/>
  <c r="AD99" i="1"/>
  <c r="AC99" i="1"/>
  <c r="AB99" i="1"/>
  <c r="AA99" i="1"/>
  <c r="AI98" i="1"/>
  <c r="AH98" i="1"/>
  <c r="AG98" i="1"/>
  <c r="AF98" i="1"/>
  <c r="AE98" i="1"/>
  <c r="AD98" i="1"/>
  <c r="AC98" i="1"/>
  <c r="AB98" i="1"/>
  <c r="AA98" i="1"/>
  <c r="AI97" i="1"/>
  <c r="AH97" i="1"/>
  <c r="AG97" i="1"/>
  <c r="AF97" i="1"/>
  <c r="AE97" i="1"/>
  <c r="AD97" i="1"/>
  <c r="AC97" i="1"/>
  <c r="AB97" i="1"/>
  <c r="AA97" i="1"/>
  <c r="Y97" i="1"/>
  <c r="X97" i="1"/>
  <c r="W97" i="1"/>
  <c r="V97" i="1"/>
  <c r="U97" i="1"/>
  <c r="T97" i="1"/>
  <c r="S97" i="1"/>
  <c r="R97" i="1"/>
  <c r="Q97" i="1"/>
  <c r="AI96" i="1"/>
  <c r="AH96" i="1"/>
  <c r="AG96" i="1"/>
  <c r="AF96" i="1"/>
  <c r="AE96" i="1"/>
  <c r="AD96" i="1"/>
  <c r="AC96" i="1"/>
  <c r="AB96" i="1"/>
  <c r="AA96" i="1"/>
  <c r="AI95" i="1"/>
  <c r="AH95" i="1"/>
  <c r="AG95" i="1"/>
  <c r="AF95" i="1"/>
  <c r="AE95" i="1"/>
  <c r="AD95" i="1"/>
  <c r="AC95" i="1"/>
  <c r="AB95" i="1"/>
  <c r="AA95" i="1"/>
  <c r="AI94" i="1"/>
  <c r="AH94" i="1"/>
  <c r="AG94" i="1"/>
  <c r="AF94" i="1"/>
  <c r="AE94" i="1"/>
  <c r="AD94" i="1"/>
  <c r="AC94" i="1"/>
  <c r="AB94" i="1"/>
  <c r="AA94" i="1"/>
  <c r="AI93" i="1"/>
  <c r="AH93" i="1"/>
  <c r="AG93" i="1"/>
  <c r="AF93" i="1"/>
  <c r="AE93" i="1"/>
  <c r="AD93" i="1"/>
  <c r="AC93" i="1"/>
  <c r="AB93" i="1"/>
  <c r="AA93" i="1"/>
  <c r="Y93" i="1"/>
  <c r="X93" i="1"/>
  <c r="W93" i="1"/>
  <c r="V93" i="1"/>
  <c r="U93" i="1"/>
  <c r="T93" i="1"/>
  <c r="S93" i="1"/>
  <c r="R93" i="1"/>
  <c r="Q93" i="1"/>
  <c r="AI91" i="1"/>
  <c r="AH91" i="1"/>
  <c r="AG91" i="1"/>
  <c r="AF91" i="1"/>
  <c r="AE91" i="1"/>
  <c r="AD91" i="1"/>
  <c r="AC91" i="1"/>
  <c r="AB91" i="1"/>
  <c r="AA91" i="1"/>
  <c r="AI90" i="1"/>
  <c r="AH90" i="1"/>
  <c r="AG90" i="1"/>
  <c r="AF90" i="1"/>
  <c r="AE90" i="1"/>
  <c r="AD90" i="1"/>
  <c r="AC90" i="1"/>
  <c r="AB90" i="1"/>
  <c r="AA90" i="1"/>
  <c r="AI89" i="1"/>
  <c r="AH89" i="1"/>
  <c r="AG89" i="1"/>
  <c r="AF89" i="1"/>
  <c r="AE89" i="1"/>
  <c r="AD89" i="1"/>
  <c r="AC89" i="1"/>
  <c r="AB89" i="1"/>
  <c r="AA89" i="1"/>
  <c r="AI88" i="1"/>
  <c r="AH88" i="1"/>
  <c r="AG88" i="1"/>
  <c r="AF88" i="1"/>
  <c r="AE88" i="1"/>
  <c r="AD88" i="1"/>
  <c r="AC88" i="1"/>
  <c r="AB88" i="1"/>
  <c r="AA88" i="1"/>
  <c r="Y88" i="1"/>
  <c r="X88" i="1"/>
  <c r="W88" i="1"/>
  <c r="V88" i="1"/>
  <c r="U88" i="1"/>
  <c r="T88" i="1"/>
  <c r="S88" i="1"/>
  <c r="R88" i="1"/>
  <c r="Q88" i="1"/>
  <c r="AI87" i="1"/>
  <c r="AH87" i="1"/>
  <c r="AG87" i="1"/>
  <c r="AF87" i="1"/>
  <c r="AE87" i="1"/>
  <c r="AD87" i="1"/>
  <c r="AC87" i="1"/>
  <c r="AB87" i="1"/>
  <c r="AA87" i="1"/>
  <c r="AI86" i="1"/>
  <c r="AH86" i="1"/>
  <c r="AG86" i="1"/>
  <c r="AF86" i="1"/>
  <c r="AE86" i="1"/>
  <c r="AD86" i="1"/>
  <c r="AC86" i="1"/>
  <c r="AB86" i="1"/>
  <c r="AA86" i="1"/>
  <c r="AI85" i="1"/>
  <c r="AH85" i="1"/>
  <c r="AG85" i="1"/>
  <c r="AF85" i="1"/>
  <c r="AE85" i="1"/>
  <c r="AD85" i="1"/>
  <c r="AC85" i="1"/>
  <c r="AB85" i="1"/>
  <c r="AA85" i="1"/>
  <c r="AI84" i="1"/>
  <c r="AH84" i="1"/>
  <c r="AG84" i="1"/>
  <c r="AF84" i="1"/>
  <c r="AE84" i="1"/>
  <c r="AD84" i="1"/>
  <c r="AC84" i="1"/>
  <c r="AB84" i="1"/>
  <c r="AA84" i="1"/>
  <c r="Y84" i="1"/>
  <c r="X84" i="1"/>
  <c r="W84" i="1"/>
  <c r="V84" i="1"/>
  <c r="U84" i="1"/>
  <c r="T84" i="1"/>
  <c r="S84" i="1"/>
  <c r="R84" i="1"/>
  <c r="Q84" i="1"/>
  <c r="AI83" i="1"/>
  <c r="AH83" i="1"/>
  <c r="AG83" i="1"/>
  <c r="AF83" i="1"/>
  <c r="AE83" i="1"/>
  <c r="AD83" i="1"/>
  <c r="AC83" i="1"/>
  <c r="AB83" i="1"/>
  <c r="AA83" i="1"/>
  <c r="AI82" i="1"/>
  <c r="AH82" i="1"/>
  <c r="AG82" i="1"/>
  <c r="AF82" i="1"/>
  <c r="AE82" i="1"/>
  <c r="AD82" i="1"/>
  <c r="AC82" i="1"/>
  <c r="AB82" i="1"/>
  <c r="AA82" i="1"/>
  <c r="AI81" i="1"/>
  <c r="AH81" i="1"/>
  <c r="AG81" i="1"/>
  <c r="AF81" i="1"/>
  <c r="AE81" i="1"/>
  <c r="AD81" i="1"/>
  <c r="AC81" i="1"/>
  <c r="AB81" i="1"/>
  <c r="AA81" i="1"/>
  <c r="AI80" i="1"/>
  <c r="AH80" i="1"/>
  <c r="AG80" i="1"/>
  <c r="AF80" i="1"/>
  <c r="AE80" i="1"/>
  <c r="AD80" i="1"/>
  <c r="AC80" i="1"/>
  <c r="AB80" i="1"/>
  <c r="AA80" i="1"/>
  <c r="Y80" i="1"/>
  <c r="X80" i="1"/>
  <c r="W80" i="1"/>
  <c r="V80" i="1"/>
  <c r="U80" i="1"/>
  <c r="T80" i="1"/>
  <c r="S80" i="1"/>
  <c r="R80" i="1"/>
  <c r="Q80" i="1"/>
  <c r="AI78" i="1"/>
  <c r="AH78" i="1"/>
  <c r="AG78" i="1"/>
  <c r="AF78" i="1"/>
  <c r="AE78" i="1"/>
  <c r="AD78" i="1"/>
  <c r="AC78" i="1"/>
  <c r="AB78" i="1"/>
  <c r="AA78" i="1"/>
  <c r="AI77" i="1"/>
  <c r="AH77" i="1"/>
  <c r="AG77" i="1"/>
  <c r="AF77" i="1"/>
  <c r="AE77" i="1"/>
  <c r="AD77" i="1"/>
  <c r="AC77" i="1"/>
  <c r="AB77" i="1"/>
  <c r="AA77" i="1"/>
  <c r="AI76" i="1"/>
  <c r="AH76" i="1"/>
  <c r="AG76" i="1"/>
  <c r="AF76" i="1"/>
  <c r="AE76" i="1"/>
  <c r="AD76" i="1"/>
  <c r="AC76" i="1"/>
  <c r="AB76" i="1"/>
  <c r="AA76" i="1"/>
  <c r="AI75" i="1"/>
  <c r="AH75" i="1"/>
  <c r="AG75" i="1"/>
  <c r="AF75" i="1"/>
  <c r="AE75" i="1"/>
  <c r="AD75" i="1"/>
  <c r="AC75" i="1"/>
  <c r="AB75" i="1"/>
  <c r="AA75" i="1"/>
  <c r="Y75" i="1"/>
  <c r="X75" i="1"/>
  <c r="W75" i="1"/>
  <c r="V75" i="1"/>
  <c r="U75" i="1"/>
  <c r="T75" i="1"/>
  <c r="S75" i="1"/>
  <c r="R75" i="1"/>
  <c r="Q75" i="1"/>
  <c r="AI74" i="1"/>
  <c r="AH74" i="1"/>
  <c r="AG74" i="1"/>
  <c r="AF74" i="1"/>
  <c r="AE74" i="1"/>
  <c r="AD74" i="1"/>
  <c r="AC74" i="1"/>
  <c r="AB74" i="1"/>
  <c r="AA74" i="1"/>
  <c r="AI73" i="1"/>
  <c r="AH73" i="1"/>
  <c r="AG73" i="1"/>
  <c r="AF73" i="1"/>
  <c r="AE73" i="1"/>
  <c r="AD73" i="1"/>
  <c r="AC73" i="1"/>
  <c r="AB73" i="1"/>
  <c r="AA73" i="1"/>
  <c r="AI72" i="1"/>
  <c r="AH72" i="1"/>
  <c r="AG72" i="1"/>
  <c r="AF72" i="1"/>
  <c r="AE72" i="1"/>
  <c r="AD72" i="1"/>
  <c r="AC72" i="1"/>
  <c r="AB72" i="1"/>
  <c r="AA72" i="1"/>
  <c r="AI71" i="1"/>
  <c r="AH71" i="1"/>
  <c r="AG71" i="1"/>
  <c r="AF71" i="1"/>
  <c r="AE71" i="1"/>
  <c r="AD71" i="1"/>
  <c r="AC71" i="1"/>
  <c r="AB71" i="1"/>
  <c r="AA71" i="1"/>
  <c r="Y71" i="1"/>
  <c r="X71" i="1"/>
  <c r="W71" i="1"/>
  <c r="V71" i="1"/>
  <c r="U71" i="1"/>
  <c r="T71" i="1"/>
  <c r="S71" i="1"/>
  <c r="R71" i="1"/>
  <c r="Q71" i="1"/>
  <c r="AI70" i="1"/>
  <c r="AH70" i="1"/>
  <c r="AG70" i="1"/>
  <c r="AF70" i="1"/>
  <c r="AE70" i="1"/>
  <c r="AD70" i="1"/>
  <c r="AC70" i="1"/>
  <c r="AB70" i="1"/>
  <c r="AA70" i="1"/>
  <c r="AI69" i="1"/>
  <c r="AH69" i="1"/>
  <c r="AG69" i="1"/>
  <c r="AF69" i="1"/>
  <c r="AE69" i="1"/>
  <c r="AD69" i="1"/>
  <c r="AC69" i="1"/>
  <c r="AB69" i="1"/>
  <c r="AA69" i="1"/>
  <c r="AI68" i="1"/>
  <c r="AH68" i="1"/>
  <c r="AG68" i="1"/>
  <c r="AF68" i="1"/>
  <c r="AE68" i="1"/>
  <c r="AD68" i="1"/>
  <c r="AC68" i="1"/>
  <c r="AB68" i="1"/>
  <c r="AA68" i="1"/>
  <c r="AI67" i="1"/>
  <c r="AH67" i="1"/>
  <c r="AG67" i="1"/>
  <c r="AF67" i="1"/>
  <c r="AE67" i="1"/>
  <c r="AD67" i="1"/>
  <c r="AC67" i="1"/>
  <c r="AB67" i="1"/>
  <c r="AA67" i="1"/>
  <c r="Y67" i="1"/>
  <c r="X67" i="1"/>
  <c r="W67" i="1"/>
  <c r="V67" i="1"/>
  <c r="U67" i="1"/>
  <c r="T67" i="1"/>
  <c r="S67" i="1"/>
  <c r="R67" i="1"/>
  <c r="Q67" i="1"/>
  <c r="AI65" i="1"/>
  <c r="AH65" i="1"/>
  <c r="AG65" i="1"/>
  <c r="AF65" i="1"/>
  <c r="AE65" i="1"/>
  <c r="AD65" i="1"/>
  <c r="AC65" i="1"/>
  <c r="AB65" i="1"/>
  <c r="AA65" i="1"/>
  <c r="AI64" i="1"/>
  <c r="AH64" i="1"/>
  <c r="AG64" i="1"/>
  <c r="AF64" i="1"/>
  <c r="AE64" i="1"/>
  <c r="AD64" i="1"/>
  <c r="AC64" i="1"/>
  <c r="AB64" i="1"/>
  <c r="AA64" i="1"/>
  <c r="AI63" i="1"/>
  <c r="AH63" i="1"/>
  <c r="AG63" i="1"/>
  <c r="AF63" i="1"/>
  <c r="AE63" i="1"/>
  <c r="AD63" i="1"/>
  <c r="AC63" i="1"/>
  <c r="AB63" i="1"/>
  <c r="AA63" i="1"/>
  <c r="AI62" i="1"/>
  <c r="AH62" i="1"/>
  <c r="AG62" i="1"/>
  <c r="AF62" i="1"/>
  <c r="AE62" i="1"/>
  <c r="AD62" i="1"/>
  <c r="AC62" i="1"/>
  <c r="AB62" i="1"/>
  <c r="AA62" i="1"/>
  <c r="Y62" i="1"/>
  <c r="X62" i="1"/>
  <c r="W62" i="1"/>
  <c r="V62" i="1"/>
  <c r="U62" i="1"/>
  <c r="T62" i="1"/>
  <c r="S62" i="1"/>
  <c r="R62" i="1"/>
  <c r="Q62" i="1"/>
  <c r="AI61" i="1"/>
  <c r="AH61" i="1"/>
  <c r="AG61" i="1"/>
  <c r="AF61" i="1"/>
  <c r="AE61" i="1"/>
  <c r="AD61" i="1"/>
  <c r="AC61" i="1"/>
  <c r="AB61" i="1"/>
  <c r="AA61" i="1"/>
  <c r="AI60" i="1"/>
  <c r="AH60" i="1"/>
  <c r="AG60" i="1"/>
  <c r="AF60" i="1"/>
  <c r="AE60" i="1"/>
  <c r="AD60" i="1"/>
  <c r="AC60" i="1"/>
  <c r="AB60" i="1"/>
  <c r="AA60" i="1"/>
  <c r="AI59" i="1"/>
  <c r="AH59" i="1"/>
  <c r="AG59" i="1"/>
  <c r="AF59" i="1"/>
  <c r="AE59" i="1"/>
  <c r="AD59" i="1"/>
  <c r="AC59" i="1"/>
  <c r="AB59" i="1"/>
  <c r="AA59" i="1"/>
  <c r="AI58" i="1"/>
  <c r="AH58" i="1"/>
  <c r="AG58" i="1"/>
  <c r="AF58" i="1"/>
  <c r="AE58" i="1"/>
  <c r="AD58" i="1"/>
  <c r="AC58" i="1"/>
  <c r="AB58" i="1"/>
  <c r="AA58" i="1"/>
  <c r="Y58" i="1"/>
  <c r="X58" i="1"/>
  <c r="W58" i="1"/>
  <c r="V58" i="1"/>
  <c r="U58" i="1"/>
  <c r="T58" i="1"/>
  <c r="S58" i="1"/>
  <c r="R58" i="1"/>
  <c r="Q58" i="1"/>
  <c r="AI57" i="1"/>
  <c r="AH57" i="1"/>
  <c r="AG57" i="1"/>
  <c r="AF57" i="1"/>
  <c r="AE57" i="1"/>
  <c r="AD57" i="1"/>
  <c r="AC57" i="1"/>
  <c r="AB57" i="1"/>
  <c r="AA57" i="1"/>
  <c r="AI56" i="1"/>
  <c r="AH56" i="1"/>
  <c r="AG56" i="1"/>
  <c r="AF56" i="1"/>
  <c r="AE56" i="1"/>
  <c r="AD56" i="1"/>
  <c r="AC56" i="1"/>
  <c r="AB56" i="1"/>
  <c r="AA56" i="1"/>
  <c r="AI55" i="1"/>
  <c r="AH55" i="1"/>
  <c r="AG55" i="1"/>
  <c r="AF55" i="1"/>
  <c r="AE55" i="1"/>
  <c r="AD55" i="1"/>
  <c r="AC55" i="1"/>
  <c r="AB55" i="1"/>
  <c r="AA55" i="1"/>
  <c r="AI54" i="1"/>
  <c r="AH54" i="1"/>
  <c r="AG54" i="1"/>
  <c r="AF54" i="1"/>
  <c r="AE54" i="1"/>
  <c r="AD54" i="1"/>
  <c r="AC54" i="1"/>
  <c r="AB54" i="1"/>
  <c r="AA54" i="1"/>
  <c r="Y54" i="1"/>
  <c r="X54" i="1"/>
  <c r="W54" i="1"/>
  <c r="V54" i="1"/>
  <c r="U54" i="1"/>
  <c r="T54" i="1"/>
  <c r="S54" i="1"/>
  <c r="R54" i="1"/>
  <c r="Q54" i="1"/>
  <c r="AI52" i="1"/>
  <c r="AH52" i="1"/>
  <c r="AG52" i="1"/>
  <c r="AF52" i="1"/>
  <c r="AE52" i="1"/>
  <c r="AD52" i="1"/>
  <c r="AC52" i="1"/>
  <c r="AB52" i="1"/>
  <c r="AA52" i="1"/>
  <c r="AI51" i="1"/>
  <c r="AH51" i="1"/>
  <c r="AG51" i="1"/>
  <c r="AF51" i="1"/>
  <c r="AE51" i="1"/>
  <c r="AD51" i="1"/>
  <c r="AC51" i="1"/>
  <c r="AB51" i="1"/>
  <c r="AA51" i="1"/>
  <c r="AI50" i="1"/>
  <c r="AH50" i="1"/>
  <c r="AG50" i="1"/>
  <c r="AF50" i="1"/>
  <c r="AE50" i="1"/>
  <c r="AD50" i="1"/>
  <c r="AC50" i="1"/>
  <c r="AB50" i="1"/>
  <c r="AA50" i="1"/>
  <c r="AI49" i="1"/>
  <c r="AH49" i="1"/>
  <c r="AG49" i="1"/>
  <c r="AF49" i="1"/>
  <c r="AE49" i="1"/>
  <c r="AD49" i="1"/>
  <c r="AC49" i="1"/>
  <c r="AB49" i="1"/>
  <c r="AA49" i="1"/>
  <c r="Y49" i="1"/>
  <c r="X49" i="1"/>
  <c r="W49" i="1"/>
  <c r="V49" i="1"/>
  <c r="U49" i="1"/>
  <c r="T49" i="1"/>
  <c r="S49" i="1"/>
  <c r="R49" i="1"/>
  <c r="Q49" i="1"/>
  <c r="AI48" i="1"/>
  <c r="AH48" i="1"/>
  <c r="AG48" i="1"/>
  <c r="AF48" i="1"/>
  <c r="AE48" i="1"/>
  <c r="AD48" i="1"/>
  <c r="AC48" i="1"/>
  <c r="AB48" i="1"/>
  <c r="AA48" i="1"/>
  <c r="AI47" i="1"/>
  <c r="AH47" i="1"/>
  <c r="AG47" i="1"/>
  <c r="AF47" i="1"/>
  <c r="AE47" i="1"/>
  <c r="AD47" i="1"/>
  <c r="AC47" i="1"/>
  <c r="AB47" i="1"/>
  <c r="AA47" i="1"/>
  <c r="AI46" i="1"/>
  <c r="AH46" i="1"/>
  <c r="AG46" i="1"/>
  <c r="AF46" i="1"/>
  <c r="AE46" i="1"/>
  <c r="AD46" i="1"/>
  <c r="AC46" i="1"/>
  <c r="AB46" i="1"/>
  <c r="AA46" i="1"/>
  <c r="AI45" i="1"/>
  <c r="AH45" i="1"/>
  <c r="AG45" i="1"/>
  <c r="AF45" i="1"/>
  <c r="AE45" i="1"/>
  <c r="AD45" i="1"/>
  <c r="AC45" i="1"/>
  <c r="AB45" i="1"/>
  <c r="AA45" i="1"/>
  <c r="Y45" i="1"/>
  <c r="X45" i="1"/>
  <c r="W45" i="1"/>
  <c r="V45" i="1"/>
  <c r="U45" i="1"/>
  <c r="T45" i="1"/>
  <c r="S45" i="1"/>
  <c r="R45" i="1"/>
  <c r="Q45" i="1"/>
  <c r="AI44" i="1"/>
  <c r="AH44" i="1"/>
  <c r="AG44" i="1"/>
  <c r="AF44" i="1"/>
  <c r="AE44" i="1"/>
  <c r="AD44" i="1"/>
  <c r="AC44" i="1"/>
  <c r="AB44" i="1"/>
  <c r="AA44" i="1"/>
  <c r="AI43" i="1"/>
  <c r="AH43" i="1"/>
  <c r="AG43" i="1"/>
  <c r="AF43" i="1"/>
  <c r="AE43" i="1"/>
  <c r="AD43" i="1"/>
  <c r="AC43" i="1"/>
  <c r="AB43" i="1"/>
  <c r="AA43" i="1"/>
  <c r="AI42" i="1"/>
  <c r="AH42" i="1"/>
  <c r="AG42" i="1"/>
  <c r="AF42" i="1"/>
  <c r="AE42" i="1"/>
  <c r="AD42" i="1"/>
  <c r="AC42" i="1"/>
  <c r="AB42" i="1"/>
  <c r="AA42" i="1"/>
  <c r="AI41" i="1"/>
  <c r="AH41" i="1"/>
  <c r="AG41" i="1"/>
  <c r="AF41" i="1"/>
  <c r="AE41" i="1"/>
  <c r="AD41" i="1"/>
  <c r="AC41" i="1"/>
  <c r="AB41" i="1"/>
  <c r="AA41" i="1"/>
  <c r="Y41" i="1"/>
  <c r="X41" i="1"/>
  <c r="W41" i="1"/>
  <c r="V41" i="1"/>
  <c r="U41" i="1"/>
  <c r="T41" i="1"/>
  <c r="S41" i="1"/>
  <c r="R41" i="1"/>
  <c r="Q41" i="1"/>
  <c r="AB28" i="1"/>
  <c r="AC28" i="1"/>
  <c r="AD28" i="1"/>
  <c r="AE28" i="1"/>
  <c r="AF28" i="1"/>
  <c r="AG28" i="1"/>
  <c r="AH28" i="1"/>
  <c r="AI28" i="1"/>
  <c r="AB29" i="1"/>
  <c r="AC29" i="1"/>
  <c r="AD29" i="1"/>
  <c r="AE29" i="1"/>
  <c r="AF29" i="1"/>
  <c r="AG29" i="1"/>
  <c r="AH29" i="1"/>
  <c r="AI29" i="1"/>
  <c r="AB30" i="1"/>
  <c r="AC30" i="1"/>
  <c r="AD30" i="1"/>
  <c r="AE30" i="1"/>
  <c r="AF30" i="1"/>
  <c r="AG30" i="1"/>
  <c r="AH30" i="1"/>
  <c r="AI30" i="1"/>
  <c r="AB31" i="1"/>
  <c r="AC31" i="1"/>
  <c r="AD31" i="1"/>
  <c r="AE31" i="1"/>
  <c r="AF31" i="1"/>
  <c r="AG31" i="1"/>
  <c r="AH31" i="1"/>
  <c r="AI31" i="1"/>
  <c r="AB32" i="1"/>
  <c r="AC32" i="1"/>
  <c r="AD32" i="1"/>
  <c r="AE32" i="1"/>
  <c r="AF32" i="1"/>
  <c r="AG32" i="1"/>
  <c r="AH32" i="1"/>
  <c r="AI32" i="1"/>
  <c r="AB33" i="1"/>
  <c r="AC33" i="1"/>
  <c r="AD33" i="1"/>
  <c r="AE33" i="1"/>
  <c r="AF33" i="1"/>
  <c r="AG33" i="1"/>
  <c r="AH33" i="1"/>
  <c r="AI33" i="1"/>
  <c r="AB34" i="1"/>
  <c r="AC34" i="1"/>
  <c r="AD34" i="1"/>
  <c r="AE34" i="1"/>
  <c r="AF34" i="1"/>
  <c r="AG34" i="1"/>
  <c r="AH34" i="1"/>
  <c r="AI34" i="1"/>
  <c r="AB35" i="1"/>
  <c r="AC35" i="1"/>
  <c r="AD35" i="1"/>
  <c r="AE35" i="1"/>
  <c r="AF35" i="1"/>
  <c r="AG35" i="1"/>
  <c r="AH35" i="1"/>
  <c r="AI35" i="1"/>
  <c r="AB36" i="1"/>
  <c r="AC36" i="1"/>
  <c r="AD36" i="1"/>
  <c r="AE36" i="1"/>
  <c r="AF36" i="1"/>
  <c r="AG36" i="1"/>
  <c r="AH36" i="1"/>
  <c r="AI36" i="1"/>
  <c r="AB37" i="1"/>
  <c r="AC37" i="1"/>
  <c r="AD37" i="1"/>
  <c r="AE37" i="1"/>
  <c r="AF37" i="1"/>
  <c r="AG37" i="1"/>
  <c r="AH37" i="1"/>
  <c r="AI37" i="1"/>
  <c r="AB38" i="1"/>
  <c r="AC38" i="1"/>
  <c r="AD38" i="1"/>
  <c r="AE38" i="1"/>
  <c r="AF38" i="1"/>
  <c r="AG38" i="1"/>
  <c r="AH38" i="1"/>
  <c r="AI38" i="1"/>
  <c r="AB39" i="1"/>
  <c r="AC39" i="1"/>
  <c r="AD39" i="1"/>
  <c r="AE39" i="1"/>
  <c r="AF39" i="1"/>
  <c r="AG39" i="1"/>
  <c r="AH39" i="1"/>
  <c r="AI39" i="1"/>
  <c r="AA39" i="1"/>
  <c r="AA38" i="1"/>
  <c r="AA37" i="1"/>
  <c r="AA36" i="1"/>
  <c r="AA35" i="1"/>
  <c r="AA34" i="1"/>
  <c r="AA33" i="1"/>
  <c r="AA32" i="1"/>
  <c r="AA31" i="1"/>
  <c r="AA30" i="1"/>
  <c r="AA29" i="1"/>
  <c r="AA28" i="1"/>
  <c r="R28" i="1"/>
  <c r="S28" i="1"/>
  <c r="T28" i="1"/>
  <c r="U28" i="1"/>
  <c r="V28" i="1"/>
  <c r="W28" i="1"/>
  <c r="X28" i="1"/>
  <c r="Y28" i="1"/>
  <c r="R32" i="1"/>
  <c r="S32" i="1"/>
  <c r="T32" i="1"/>
  <c r="U32" i="1"/>
  <c r="V32" i="1"/>
  <c r="W32" i="1"/>
  <c r="X32" i="1"/>
  <c r="Y32" i="1"/>
  <c r="R36" i="1"/>
  <c r="S36" i="1"/>
  <c r="T36" i="1"/>
  <c r="U36" i="1"/>
  <c r="V36" i="1"/>
  <c r="W36" i="1"/>
  <c r="X36" i="1"/>
  <c r="Y36" i="1"/>
  <c r="Q36" i="1"/>
  <c r="Q32" i="1"/>
  <c r="Q28" i="1"/>
  <c r="AZ28" i="1" l="1"/>
  <c r="BB28" i="1"/>
  <c r="BA28" i="1"/>
  <c r="AV88" i="1"/>
  <c r="AU88" i="1"/>
  <c r="S94" i="1"/>
  <c r="AW93" i="1"/>
  <c r="BG93" i="1" s="1"/>
  <c r="T94" i="1"/>
  <c r="AX93" i="1"/>
  <c r="BH93" i="1" s="1"/>
  <c r="W98" i="1"/>
  <c r="BA97" i="1"/>
  <c r="BK97" i="1" s="1"/>
  <c r="R102" i="1"/>
  <c r="AV101" i="1"/>
  <c r="BF101" i="1" s="1"/>
  <c r="V98" i="1"/>
  <c r="AZ97" i="1"/>
  <c r="BJ97" i="1" s="1"/>
  <c r="U94" i="1"/>
  <c r="AY93" i="1"/>
  <c r="X98" i="1"/>
  <c r="BB97" i="1"/>
  <c r="BL97" i="1" s="1"/>
  <c r="S102" i="1"/>
  <c r="AW101" i="1"/>
  <c r="BG101" i="1" s="1"/>
  <c r="X102" i="1"/>
  <c r="BB101" i="1"/>
  <c r="BL101" i="1" s="1"/>
  <c r="V94" i="1"/>
  <c r="AZ93" i="1"/>
  <c r="BJ93" i="1" s="1"/>
  <c r="Q98" i="1"/>
  <c r="AU97" i="1"/>
  <c r="BE97" i="1" s="1"/>
  <c r="Y98" i="1"/>
  <c r="BC97" i="1"/>
  <c r="BM97" i="1" s="1"/>
  <c r="T102" i="1"/>
  <c r="AX101" i="1"/>
  <c r="BH101" i="1" s="1"/>
  <c r="Q102" i="1"/>
  <c r="AU101" i="1"/>
  <c r="BE101" i="1" s="1"/>
  <c r="W94" i="1"/>
  <c r="BA93" i="1"/>
  <c r="BK93" i="1" s="1"/>
  <c r="R98" i="1"/>
  <c r="AV97" i="1"/>
  <c r="BF97" i="1" s="1"/>
  <c r="U102" i="1"/>
  <c r="AY101" i="1"/>
  <c r="R94" i="1"/>
  <c r="AV93" i="1"/>
  <c r="BF93" i="1" s="1"/>
  <c r="Y102" i="1"/>
  <c r="BC101" i="1"/>
  <c r="BM101" i="1" s="1"/>
  <c r="X94" i="1"/>
  <c r="BB93" i="1"/>
  <c r="BL93" i="1" s="1"/>
  <c r="S98" i="1"/>
  <c r="AW97" i="1"/>
  <c r="BG97" i="1" s="1"/>
  <c r="V102" i="1"/>
  <c r="AZ101" i="1"/>
  <c r="BJ101" i="1" s="1"/>
  <c r="U98" i="1"/>
  <c r="AY97" i="1"/>
  <c r="Q94" i="1"/>
  <c r="AU93" i="1"/>
  <c r="BE93" i="1" s="1"/>
  <c r="Y94" i="1"/>
  <c r="BC93" i="1"/>
  <c r="BM93" i="1" s="1"/>
  <c r="T98" i="1"/>
  <c r="AX97" i="1"/>
  <c r="BH97" i="1" s="1"/>
  <c r="W102" i="1"/>
  <c r="BA101" i="1"/>
  <c r="BK101" i="1" s="1"/>
  <c r="T85" i="1"/>
  <c r="AX84" i="1"/>
  <c r="W89" i="1"/>
  <c r="BA88" i="1"/>
  <c r="R81" i="1"/>
  <c r="AV80" i="1"/>
  <c r="U85" i="1"/>
  <c r="AY84" i="1"/>
  <c r="X89" i="1"/>
  <c r="BB88" i="1"/>
  <c r="V85" i="1"/>
  <c r="AZ84" i="1"/>
  <c r="T81" i="1"/>
  <c r="AX80" i="1"/>
  <c r="W85" i="1"/>
  <c r="BA84" i="1"/>
  <c r="S81" i="1"/>
  <c r="AW80" i="1"/>
  <c r="U81" i="1"/>
  <c r="AY80" i="1"/>
  <c r="X85" i="1"/>
  <c r="BB84" i="1"/>
  <c r="S89" i="1"/>
  <c r="AW88" i="1"/>
  <c r="Y81" i="1"/>
  <c r="BC80" i="1"/>
  <c r="V81" i="1"/>
  <c r="AZ80" i="1"/>
  <c r="Q85" i="1"/>
  <c r="AU84" i="1"/>
  <c r="Y85" i="1"/>
  <c r="BC84" i="1"/>
  <c r="T89" i="1"/>
  <c r="AX88" i="1"/>
  <c r="Y89" i="1"/>
  <c r="BC88" i="1"/>
  <c r="W81" i="1"/>
  <c r="BA80" i="1"/>
  <c r="R85" i="1"/>
  <c r="AV84" i="1"/>
  <c r="U89" i="1"/>
  <c r="AY88" i="1"/>
  <c r="Q81" i="1"/>
  <c r="AU80" i="1"/>
  <c r="X81" i="1"/>
  <c r="BB80" i="1"/>
  <c r="S85" i="1"/>
  <c r="AW84" i="1"/>
  <c r="V89" i="1"/>
  <c r="AZ88" i="1"/>
  <c r="Q68" i="1"/>
  <c r="AU67" i="1"/>
  <c r="Y68" i="1"/>
  <c r="BC67" i="1"/>
  <c r="T72" i="1"/>
  <c r="AX71" i="1"/>
  <c r="W76" i="1"/>
  <c r="BA75" i="1"/>
  <c r="S68" i="1"/>
  <c r="AW67" i="1"/>
  <c r="V72" i="1"/>
  <c r="AZ71" i="1"/>
  <c r="Q76" i="1"/>
  <c r="AU75" i="1"/>
  <c r="Y76" i="1"/>
  <c r="BC75" i="1"/>
  <c r="T68" i="1"/>
  <c r="AX67" i="1"/>
  <c r="W72" i="1"/>
  <c r="BA71" i="1"/>
  <c r="R76" i="1"/>
  <c r="AV75" i="1"/>
  <c r="S72" i="1"/>
  <c r="AW71" i="1"/>
  <c r="U68" i="1"/>
  <c r="AY67" i="1"/>
  <c r="X72" i="1"/>
  <c r="BB71" i="1"/>
  <c r="S76" i="1"/>
  <c r="AW75" i="1"/>
  <c r="R68" i="1"/>
  <c r="AV67" i="1"/>
  <c r="X76" i="1"/>
  <c r="BB75" i="1"/>
  <c r="AV28" i="1"/>
  <c r="V68" i="1"/>
  <c r="AZ67" i="1"/>
  <c r="Q72" i="1"/>
  <c r="AU71" i="1"/>
  <c r="Y72" i="1"/>
  <c r="BC71" i="1"/>
  <c r="T76" i="1"/>
  <c r="AX75" i="1"/>
  <c r="X68" i="1"/>
  <c r="BB67" i="1"/>
  <c r="V76" i="1"/>
  <c r="AZ75" i="1"/>
  <c r="U72" i="1"/>
  <c r="AY71" i="1"/>
  <c r="W68" i="1"/>
  <c r="BA67" i="1"/>
  <c r="R72" i="1"/>
  <c r="AV71" i="1"/>
  <c r="U76" i="1"/>
  <c r="AY75" i="1"/>
  <c r="Q55" i="1"/>
  <c r="AU54" i="1"/>
  <c r="Y55" i="1"/>
  <c r="BC54" i="1"/>
  <c r="T59" i="1"/>
  <c r="AX58" i="1"/>
  <c r="W63" i="1"/>
  <c r="BA62" i="1"/>
  <c r="X55" i="1"/>
  <c r="BB54" i="1"/>
  <c r="R55" i="1"/>
  <c r="AV54" i="1"/>
  <c r="U59" i="1"/>
  <c r="AY58" i="1"/>
  <c r="X63" i="1"/>
  <c r="BB62" i="1"/>
  <c r="U63" i="1"/>
  <c r="AY62" i="1"/>
  <c r="S55" i="1"/>
  <c r="AW54" i="1"/>
  <c r="V59" i="1"/>
  <c r="AZ58" i="1"/>
  <c r="Q63" i="1"/>
  <c r="AU62" i="1"/>
  <c r="Y63" i="1"/>
  <c r="BC62" i="1"/>
  <c r="R59" i="1"/>
  <c r="AV58" i="1"/>
  <c r="V63" i="1"/>
  <c r="AZ62" i="1"/>
  <c r="AW28" i="1"/>
  <c r="T55" i="1"/>
  <c r="AX54" i="1"/>
  <c r="W59" i="1"/>
  <c r="BA58" i="1"/>
  <c r="R63" i="1"/>
  <c r="AV62" i="1"/>
  <c r="W55" i="1"/>
  <c r="BA54" i="1"/>
  <c r="U55" i="1"/>
  <c r="AY54" i="1"/>
  <c r="X59" i="1"/>
  <c r="BB58" i="1"/>
  <c r="S63" i="1"/>
  <c r="AW62" i="1"/>
  <c r="S59" i="1"/>
  <c r="AW58" i="1"/>
  <c r="V55" i="1"/>
  <c r="AZ54" i="1"/>
  <c r="Q59" i="1"/>
  <c r="AU58" i="1"/>
  <c r="Y59" i="1"/>
  <c r="BC58" i="1"/>
  <c r="T63" i="1"/>
  <c r="AX62" i="1"/>
  <c r="W42" i="1"/>
  <c r="BA41" i="1"/>
  <c r="R46" i="1"/>
  <c r="AV45" i="1"/>
  <c r="U50" i="1"/>
  <c r="AY49" i="1"/>
  <c r="X42" i="1"/>
  <c r="BB41" i="1"/>
  <c r="S46" i="1"/>
  <c r="AW45" i="1"/>
  <c r="V50" i="1"/>
  <c r="AZ49" i="1"/>
  <c r="V42" i="1"/>
  <c r="AZ41" i="1"/>
  <c r="Y46" i="1"/>
  <c r="BC45" i="1"/>
  <c r="Q42" i="1"/>
  <c r="AU41" i="1"/>
  <c r="R42" i="1"/>
  <c r="AV41" i="1"/>
  <c r="U46" i="1"/>
  <c r="AY45" i="1"/>
  <c r="X50" i="1"/>
  <c r="BB49" i="1"/>
  <c r="Q46" i="1"/>
  <c r="AU45" i="1"/>
  <c r="W50" i="1"/>
  <c r="BA49" i="1"/>
  <c r="S42" i="1"/>
  <c r="AW41" i="1"/>
  <c r="V46" i="1"/>
  <c r="AZ45" i="1"/>
  <c r="Q50" i="1"/>
  <c r="AU49" i="1"/>
  <c r="Y50" i="1"/>
  <c r="BC49" i="1"/>
  <c r="T46" i="1"/>
  <c r="AX45" i="1"/>
  <c r="BH45" i="1" s="1"/>
  <c r="T42" i="1"/>
  <c r="AX41" i="1"/>
  <c r="W46" i="1"/>
  <c r="BA45" i="1"/>
  <c r="R50" i="1"/>
  <c r="AV49" i="1"/>
  <c r="T50" i="1"/>
  <c r="AX49" i="1"/>
  <c r="BH49" i="1" s="1"/>
  <c r="Y42" i="1"/>
  <c r="BC41" i="1"/>
  <c r="BC28" i="1"/>
  <c r="U42" i="1"/>
  <c r="AY41" i="1"/>
  <c r="X46" i="1"/>
  <c r="BB45" i="1"/>
  <c r="S50" i="1"/>
  <c r="AW49" i="1"/>
  <c r="AU32" i="1"/>
  <c r="X33" i="1"/>
  <c r="BB32" i="1"/>
  <c r="W37" i="1"/>
  <c r="BA36" i="1"/>
  <c r="W33" i="1"/>
  <c r="BA32" i="1"/>
  <c r="V37" i="1"/>
  <c r="AZ36" i="1"/>
  <c r="V33" i="1"/>
  <c r="AZ32" i="1"/>
  <c r="U37" i="1"/>
  <c r="AY36" i="1"/>
  <c r="T37" i="1"/>
  <c r="AX36" i="1"/>
  <c r="T33" i="1"/>
  <c r="AX32" i="1"/>
  <c r="U33" i="1"/>
  <c r="AY32" i="1"/>
  <c r="S37" i="1"/>
  <c r="AW36" i="1"/>
  <c r="S33" i="1"/>
  <c r="AW32" i="1"/>
  <c r="AU36" i="1"/>
  <c r="R37" i="1"/>
  <c r="AV36" i="1"/>
  <c r="R33" i="1"/>
  <c r="AV32" i="1"/>
  <c r="X37" i="1"/>
  <c r="BB36" i="1"/>
  <c r="Y37" i="1"/>
  <c r="BC36" i="1"/>
  <c r="Y33" i="1"/>
  <c r="BC32" i="1"/>
  <c r="AY28" i="1"/>
  <c r="AX28" i="1"/>
  <c r="AU28" i="1"/>
  <c r="BE28" i="1" s="1"/>
  <c r="X29" i="1"/>
  <c r="BB29" i="1" s="1"/>
  <c r="W29" i="1"/>
  <c r="BA29" i="1" s="1"/>
  <c r="V29" i="1"/>
  <c r="AZ29" i="1" s="1"/>
  <c r="U29" i="1"/>
  <c r="AY29" i="1" s="1"/>
  <c r="T29" i="1"/>
  <c r="AX29" i="1" s="1"/>
  <c r="S29" i="1"/>
  <c r="AW29" i="1" s="1"/>
  <c r="R29" i="1"/>
  <c r="AV29" i="1" s="1"/>
  <c r="Y29" i="1"/>
  <c r="BC29" i="1" s="1"/>
  <c r="Q89" i="1"/>
  <c r="R89" i="1"/>
  <c r="Q29" i="1"/>
  <c r="AU29" i="1" s="1"/>
  <c r="Q33" i="1"/>
  <c r="Q37" i="1"/>
  <c r="Q95" i="1" l="1"/>
  <c r="AU94" i="1"/>
  <c r="BE94" i="1" s="1"/>
  <c r="X95" i="1"/>
  <c r="BB94" i="1"/>
  <c r="W103" i="1"/>
  <c r="BA102" i="1"/>
  <c r="BK102" i="1" s="1"/>
  <c r="U99" i="1"/>
  <c r="AY98" i="1"/>
  <c r="Y103" i="1"/>
  <c r="BC102" i="1"/>
  <c r="BM102" i="1" s="1"/>
  <c r="W95" i="1"/>
  <c r="BA94" i="1"/>
  <c r="BK94" i="1" s="1"/>
  <c r="Q99" i="1"/>
  <c r="AU98" i="1"/>
  <c r="BE98" i="1" s="1"/>
  <c r="X99" i="1"/>
  <c r="BB98" i="1"/>
  <c r="BL98" i="1" s="1"/>
  <c r="W99" i="1"/>
  <c r="BA98" i="1"/>
  <c r="BK98" i="1" s="1"/>
  <c r="S103" i="1"/>
  <c r="AW102" i="1"/>
  <c r="BG102" i="1" s="1"/>
  <c r="R99" i="1"/>
  <c r="AV98" i="1"/>
  <c r="BF98" i="1" s="1"/>
  <c r="T99" i="1"/>
  <c r="AX98" i="1"/>
  <c r="BH98" i="1" s="1"/>
  <c r="V103" i="1"/>
  <c r="AZ102" i="1"/>
  <c r="BJ102" i="1" s="1"/>
  <c r="R95" i="1"/>
  <c r="AV94" i="1"/>
  <c r="BF94" i="1" s="1"/>
  <c r="Q103" i="1"/>
  <c r="AU102" i="1"/>
  <c r="BE102" i="1" s="1"/>
  <c r="V95" i="1"/>
  <c r="AZ94" i="1"/>
  <c r="BJ94" i="1" s="1"/>
  <c r="U95" i="1"/>
  <c r="AY94" i="1"/>
  <c r="T95" i="1"/>
  <c r="AX94" i="1"/>
  <c r="BH94" i="1" s="1"/>
  <c r="Y99" i="1"/>
  <c r="BC98" i="1"/>
  <c r="BM98" i="1" s="1"/>
  <c r="R103" i="1"/>
  <c r="AV102" i="1"/>
  <c r="BF102" i="1" s="1"/>
  <c r="Y95" i="1"/>
  <c r="BC94" i="1"/>
  <c r="BM94" i="1" s="1"/>
  <c r="S99" i="1"/>
  <c r="AW98" i="1"/>
  <c r="BG98" i="1" s="1"/>
  <c r="U103" i="1"/>
  <c r="AY102" i="1"/>
  <c r="T103" i="1"/>
  <c r="AX102" i="1"/>
  <c r="BH102" i="1" s="1"/>
  <c r="X103" i="1"/>
  <c r="BB102" i="1"/>
  <c r="BL102" i="1" s="1"/>
  <c r="V99" i="1"/>
  <c r="AZ98" i="1"/>
  <c r="BJ98" i="1" s="1"/>
  <c r="S95" i="1"/>
  <c r="AW94" i="1"/>
  <c r="BG94" i="1" s="1"/>
  <c r="S86" i="1"/>
  <c r="AW85" i="1"/>
  <c r="R86" i="1"/>
  <c r="AV85" i="1"/>
  <c r="Y86" i="1"/>
  <c r="BC85" i="1"/>
  <c r="S90" i="1"/>
  <c r="AW89" i="1"/>
  <c r="W86" i="1"/>
  <c r="BA85" i="1"/>
  <c r="U86" i="1"/>
  <c r="AY85" i="1"/>
  <c r="Q90" i="1"/>
  <c r="AU89" i="1"/>
  <c r="X82" i="1"/>
  <c r="BB81" i="1"/>
  <c r="W82" i="1"/>
  <c r="BA81" i="1"/>
  <c r="Q86" i="1"/>
  <c r="AU85" i="1"/>
  <c r="X86" i="1"/>
  <c r="BB85" i="1"/>
  <c r="T82" i="1"/>
  <c r="AX81" i="1"/>
  <c r="R82" i="1"/>
  <c r="AV81" i="1"/>
  <c r="R90" i="1"/>
  <c r="AV89" i="1"/>
  <c r="Q82" i="1"/>
  <c r="AU81" i="1"/>
  <c r="Y90" i="1"/>
  <c r="BC89" i="1"/>
  <c r="V82" i="1"/>
  <c r="AZ81" i="1"/>
  <c r="U82" i="1"/>
  <c r="AY81" i="1"/>
  <c r="V86" i="1"/>
  <c r="AZ85" i="1"/>
  <c r="W90" i="1"/>
  <c r="BA89" i="1"/>
  <c r="V90" i="1"/>
  <c r="AZ89" i="1"/>
  <c r="U90" i="1"/>
  <c r="AY89" i="1"/>
  <c r="T90" i="1"/>
  <c r="AX89" i="1"/>
  <c r="Y82" i="1"/>
  <c r="BC81" i="1"/>
  <c r="S82" i="1"/>
  <c r="AW81" i="1"/>
  <c r="X90" i="1"/>
  <c r="BB89" i="1"/>
  <c r="T86" i="1"/>
  <c r="AX85" i="1"/>
  <c r="U73" i="1"/>
  <c r="AY72" i="1"/>
  <c r="S73" i="1"/>
  <c r="AW72" i="1"/>
  <c r="W77" i="1"/>
  <c r="BA76" i="1"/>
  <c r="U77" i="1"/>
  <c r="AY76" i="1"/>
  <c r="V77" i="1"/>
  <c r="AZ76" i="1"/>
  <c r="Q73" i="1"/>
  <c r="AU72" i="1"/>
  <c r="R69" i="1"/>
  <c r="AV68" i="1"/>
  <c r="S77" i="1"/>
  <c r="AW76" i="1"/>
  <c r="R77" i="1"/>
  <c r="AV76" i="1"/>
  <c r="Q77" i="1"/>
  <c r="AU76" i="1"/>
  <c r="T73" i="1"/>
  <c r="AX72" i="1"/>
  <c r="Y73" i="1"/>
  <c r="BC72" i="1"/>
  <c r="Y77" i="1"/>
  <c r="BC76" i="1"/>
  <c r="R73" i="1"/>
  <c r="AV72" i="1"/>
  <c r="X69" i="1"/>
  <c r="BB68" i="1"/>
  <c r="V69" i="1"/>
  <c r="AZ68" i="1"/>
  <c r="X73" i="1"/>
  <c r="BB72" i="1"/>
  <c r="W73" i="1"/>
  <c r="BA72" i="1"/>
  <c r="V73" i="1"/>
  <c r="AZ72" i="1"/>
  <c r="Y69" i="1"/>
  <c r="BC68" i="1"/>
  <c r="W69" i="1"/>
  <c r="BA68" i="1"/>
  <c r="T77" i="1"/>
  <c r="AX76" i="1"/>
  <c r="X77" i="1"/>
  <c r="BB76" i="1"/>
  <c r="U69" i="1"/>
  <c r="AY68" i="1"/>
  <c r="T69" i="1"/>
  <c r="AX68" i="1"/>
  <c r="S69" i="1"/>
  <c r="AW68" i="1"/>
  <c r="Q69" i="1"/>
  <c r="AU68" i="1"/>
  <c r="Y64" i="1"/>
  <c r="BC63" i="1"/>
  <c r="U64" i="1"/>
  <c r="AY63" i="1"/>
  <c r="Q64" i="1"/>
  <c r="AU63" i="1"/>
  <c r="X64" i="1"/>
  <c r="BB63" i="1"/>
  <c r="W64" i="1"/>
  <c r="BA63" i="1"/>
  <c r="T64" i="1"/>
  <c r="AX63" i="1"/>
  <c r="S60" i="1"/>
  <c r="AW59" i="1"/>
  <c r="W56" i="1"/>
  <c r="BA55" i="1"/>
  <c r="U56" i="1"/>
  <c r="AY55" i="1"/>
  <c r="T56" i="1"/>
  <c r="AX55" i="1"/>
  <c r="U60" i="1"/>
  <c r="AY59" i="1"/>
  <c r="Y60" i="1"/>
  <c r="BC59" i="1"/>
  <c r="S64" i="1"/>
  <c r="AW63" i="1"/>
  <c r="R64" i="1"/>
  <c r="AV63" i="1"/>
  <c r="Q56" i="1"/>
  <c r="AU55" i="1"/>
  <c r="V64" i="1"/>
  <c r="AZ63" i="1"/>
  <c r="V60" i="1"/>
  <c r="AZ59" i="1"/>
  <c r="T60" i="1"/>
  <c r="AX59" i="1"/>
  <c r="R60" i="1"/>
  <c r="AV59" i="1"/>
  <c r="S56" i="1"/>
  <c r="AW55" i="1"/>
  <c r="R56" i="1"/>
  <c r="AV55" i="1"/>
  <c r="Y56" i="1"/>
  <c r="BC55" i="1"/>
  <c r="X56" i="1"/>
  <c r="BB55" i="1"/>
  <c r="V56" i="1"/>
  <c r="AZ55" i="1"/>
  <c r="Q60" i="1"/>
  <c r="AU59" i="1"/>
  <c r="X60" i="1"/>
  <c r="BB59" i="1"/>
  <c r="W60" i="1"/>
  <c r="BA59" i="1"/>
  <c r="Y43" i="1"/>
  <c r="BC42" i="1"/>
  <c r="T43" i="1"/>
  <c r="AX42" i="1"/>
  <c r="V47" i="1"/>
  <c r="AZ46" i="1"/>
  <c r="X51" i="1"/>
  <c r="BB50" i="1"/>
  <c r="X43" i="1"/>
  <c r="BB42" i="1"/>
  <c r="T51" i="1"/>
  <c r="AX50" i="1"/>
  <c r="T47" i="1"/>
  <c r="AX46" i="1"/>
  <c r="BH46" i="1" s="1"/>
  <c r="S43" i="1"/>
  <c r="AW42" i="1"/>
  <c r="U47" i="1"/>
  <c r="AY46" i="1"/>
  <c r="V43" i="1"/>
  <c r="AZ42" i="1"/>
  <c r="U51" i="1"/>
  <c r="AY50" i="1"/>
  <c r="S51" i="1"/>
  <c r="AW50" i="1"/>
  <c r="X47" i="1"/>
  <c r="BB46" i="1"/>
  <c r="Y47" i="1"/>
  <c r="BC46" i="1"/>
  <c r="R51" i="1"/>
  <c r="AV50" i="1"/>
  <c r="Y51" i="1"/>
  <c r="BC50" i="1"/>
  <c r="W51" i="1"/>
  <c r="BA50" i="1"/>
  <c r="R43" i="1"/>
  <c r="AV42" i="1"/>
  <c r="V51" i="1"/>
  <c r="AZ50" i="1"/>
  <c r="R47" i="1"/>
  <c r="AV46" i="1"/>
  <c r="U43" i="1"/>
  <c r="AY42" i="1"/>
  <c r="W47" i="1"/>
  <c r="BA46" i="1"/>
  <c r="Q51" i="1"/>
  <c r="AU50" i="1"/>
  <c r="Q47" i="1"/>
  <c r="AU46" i="1"/>
  <c r="Q43" i="1"/>
  <c r="AU42" i="1"/>
  <c r="S47" i="1"/>
  <c r="AW46" i="1"/>
  <c r="W43" i="1"/>
  <c r="BA42" i="1"/>
  <c r="R38" i="1"/>
  <c r="AV37" i="1"/>
  <c r="T34" i="1"/>
  <c r="AX33" i="1"/>
  <c r="V38" i="1"/>
  <c r="AZ37" i="1"/>
  <c r="U34" i="1"/>
  <c r="AY33" i="1"/>
  <c r="Y38" i="1"/>
  <c r="BC37" i="1"/>
  <c r="Y34" i="1"/>
  <c r="BC33" i="1"/>
  <c r="X38" i="1"/>
  <c r="BB37" i="1"/>
  <c r="T38" i="1"/>
  <c r="AX37" i="1"/>
  <c r="Q38" i="1"/>
  <c r="AU37" i="1"/>
  <c r="S38" i="1"/>
  <c r="AW37" i="1"/>
  <c r="U38" i="1"/>
  <c r="AY37" i="1"/>
  <c r="W38" i="1"/>
  <c r="BA37" i="1"/>
  <c r="S34" i="1"/>
  <c r="AW33" i="1"/>
  <c r="W34" i="1"/>
  <c r="BA33" i="1"/>
  <c r="Q34" i="1"/>
  <c r="AU33" i="1"/>
  <c r="R34" i="1"/>
  <c r="AV33" i="1"/>
  <c r="V34" i="1"/>
  <c r="AZ33" i="1"/>
  <c r="X34" i="1"/>
  <c r="BB33" i="1"/>
  <c r="U30" i="1"/>
  <c r="AY30" i="1" s="1"/>
  <c r="V30" i="1"/>
  <c r="AZ30" i="1" s="1"/>
  <c r="W30" i="1"/>
  <c r="BA30" i="1" s="1"/>
  <c r="Y30" i="1"/>
  <c r="BC30" i="1" s="1"/>
  <c r="Q30" i="1"/>
  <c r="AU30" i="1" s="1"/>
  <c r="R30" i="1"/>
  <c r="AV30" i="1" s="1"/>
  <c r="S30" i="1"/>
  <c r="AW30" i="1" s="1"/>
  <c r="T30" i="1"/>
  <c r="AX30" i="1" s="1"/>
  <c r="X30" i="1"/>
  <c r="BB30" i="1" s="1"/>
  <c r="H16" i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I16" i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J16" i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K16" i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L16" i="1"/>
  <c r="L28" i="1" s="1"/>
  <c r="L29" i="1" s="1"/>
  <c r="L30" i="1" s="1"/>
  <c r="L31" i="1" s="1"/>
  <c r="L32" i="1" s="1"/>
  <c r="L33" i="1" s="1"/>
  <c r="L34" i="1" s="1"/>
  <c r="L35" i="1" s="1"/>
  <c r="L36" i="1" s="1"/>
  <c r="L37" i="1" s="1"/>
  <c r="L38" i="1" s="1"/>
  <c r="L39" i="1" s="1"/>
  <c r="M16" i="1"/>
  <c r="M28" i="1" s="1"/>
  <c r="M29" i="1" s="1"/>
  <c r="M30" i="1" s="1"/>
  <c r="M31" i="1" s="1"/>
  <c r="M32" i="1" s="1"/>
  <c r="M33" i="1" s="1"/>
  <c r="M34" i="1" s="1"/>
  <c r="M35" i="1" s="1"/>
  <c r="M36" i="1" s="1"/>
  <c r="M37" i="1" s="1"/>
  <c r="M38" i="1" s="1"/>
  <c r="M39" i="1" s="1"/>
  <c r="N16" i="1"/>
  <c r="N28" i="1" s="1"/>
  <c r="N29" i="1" s="1"/>
  <c r="N30" i="1" s="1"/>
  <c r="N31" i="1" s="1"/>
  <c r="N32" i="1" s="1"/>
  <c r="N33" i="1" s="1"/>
  <c r="N34" i="1" s="1"/>
  <c r="N35" i="1" s="1"/>
  <c r="N36" i="1" s="1"/>
  <c r="N37" i="1" s="1"/>
  <c r="N38" i="1" s="1"/>
  <c r="N39" i="1" s="1"/>
  <c r="O16" i="1"/>
  <c r="O28" i="1" s="1"/>
  <c r="O29" i="1" s="1"/>
  <c r="O30" i="1" s="1"/>
  <c r="O31" i="1" s="1"/>
  <c r="O32" i="1" s="1"/>
  <c r="O33" i="1" s="1"/>
  <c r="O34" i="1" s="1"/>
  <c r="O35" i="1" s="1"/>
  <c r="O36" i="1" s="1"/>
  <c r="O37" i="1" s="1"/>
  <c r="O38" i="1" s="1"/>
  <c r="O39" i="1" s="1"/>
  <c r="H17" i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I17" i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J17" i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J51" i="1" s="1"/>
  <c r="J52" i="1" s="1"/>
  <c r="K17" i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L17" i="1"/>
  <c r="L41" i="1" s="1"/>
  <c r="L42" i="1" s="1"/>
  <c r="L43" i="1" s="1"/>
  <c r="L44" i="1" s="1"/>
  <c r="L45" i="1" s="1"/>
  <c r="L46" i="1" s="1"/>
  <c r="L47" i="1" s="1"/>
  <c r="L48" i="1" s="1"/>
  <c r="L49" i="1" s="1"/>
  <c r="L50" i="1" s="1"/>
  <c r="L51" i="1" s="1"/>
  <c r="L52" i="1" s="1"/>
  <c r="M17" i="1"/>
  <c r="M41" i="1" s="1"/>
  <c r="M42" i="1" s="1"/>
  <c r="M43" i="1" s="1"/>
  <c r="M44" i="1" s="1"/>
  <c r="M45" i="1" s="1"/>
  <c r="M46" i="1" s="1"/>
  <c r="M47" i="1" s="1"/>
  <c r="M48" i="1" s="1"/>
  <c r="M49" i="1" s="1"/>
  <c r="M50" i="1" s="1"/>
  <c r="M51" i="1" s="1"/>
  <c r="M52" i="1" s="1"/>
  <c r="N17" i="1"/>
  <c r="N41" i="1" s="1"/>
  <c r="N42" i="1" s="1"/>
  <c r="N43" i="1" s="1"/>
  <c r="N44" i="1" s="1"/>
  <c r="N45" i="1" s="1"/>
  <c r="N46" i="1" s="1"/>
  <c r="N47" i="1" s="1"/>
  <c r="N48" i="1" s="1"/>
  <c r="N49" i="1" s="1"/>
  <c r="N50" i="1" s="1"/>
  <c r="N51" i="1" s="1"/>
  <c r="N52" i="1" s="1"/>
  <c r="O17" i="1"/>
  <c r="O41" i="1" s="1"/>
  <c r="O42" i="1" s="1"/>
  <c r="O43" i="1" s="1"/>
  <c r="O44" i="1" s="1"/>
  <c r="O45" i="1" s="1"/>
  <c r="O46" i="1" s="1"/>
  <c r="O47" i="1" s="1"/>
  <c r="O48" i="1" s="1"/>
  <c r="O49" i="1" s="1"/>
  <c r="O50" i="1" s="1"/>
  <c r="O51" i="1" s="1"/>
  <c r="O52" i="1" s="1"/>
  <c r="H18" i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5" i="1" s="1"/>
  <c r="I18" i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s="1"/>
  <c r="I65" i="1" s="1"/>
  <c r="J18" i="1"/>
  <c r="J54" i="1" s="1"/>
  <c r="J55" i="1" s="1"/>
  <c r="J56" i="1" s="1"/>
  <c r="J57" i="1" s="1"/>
  <c r="J58" i="1" s="1"/>
  <c r="J59" i="1" s="1"/>
  <c r="J60" i="1" s="1"/>
  <c r="J61" i="1" s="1"/>
  <c r="J62" i="1" s="1"/>
  <c r="J63" i="1" s="1"/>
  <c r="J64" i="1" s="1"/>
  <c r="J65" i="1" s="1"/>
  <c r="K18" i="1"/>
  <c r="K54" i="1" s="1"/>
  <c r="K55" i="1" s="1"/>
  <c r="K56" i="1" s="1"/>
  <c r="K57" i="1" s="1"/>
  <c r="K58" i="1" s="1"/>
  <c r="K59" i="1" s="1"/>
  <c r="K60" i="1" s="1"/>
  <c r="K61" i="1" s="1"/>
  <c r="K62" i="1" s="1"/>
  <c r="K63" i="1" s="1"/>
  <c r="K64" i="1" s="1"/>
  <c r="K65" i="1" s="1"/>
  <c r="L18" i="1"/>
  <c r="L54" i="1" s="1"/>
  <c r="L55" i="1" s="1"/>
  <c r="L56" i="1" s="1"/>
  <c r="L57" i="1" s="1"/>
  <c r="L58" i="1" s="1"/>
  <c r="L59" i="1" s="1"/>
  <c r="L60" i="1" s="1"/>
  <c r="L61" i="1" s="1"/>
  <c r="L62" i="1" s="1"/>
  <c r="L63" i="1" s="1"/>
  <c r="L64" i="1" s="1"/>
  <c r="L65" i="1" s="1"/>
  <c r="M18" i="1"/>
  <c r="M54" i="1" s="1"/>
  <c r="M55" i="1" s="1"/>
  <c r="M56" i="1" s="1"/>
  <c r="M57" i="1" s="1"/>
  <c r="M58" i="1" s="1"/>
  <c r="M59" i="1" s="1"/>
  <c r="M60" i="1" s="1"/>
  <c r="M61" i="1" s="1"/>
  <c r="M62" i="1" s="1"/>
  <c r="M63" i="1" s="1"/>
  <c r="M64" i="1" s="1"/>
  <c r="M65" i="1" s="1"/>
  <c r="N18" i="1"/>
  <c r="N54" i="1" s="1"/>
  <c r="N55" i="1" s="1"/>
  <c r="N56" i="1" s="1"/>
  <c r="N57" i="1" s="1"/>
  <c r="N58" i="1" s="1"/>
  <c r="N59" i="1" s="1"/>
  <c r="N60" i="1" s="1"/>
  <c r="N61" i="1" s="1"/>
  <c r="N62" i="1" s="1"/>
  <c r="N63" i="1" s="1"/>
  <c r="N64" i="1" s="1"/>
  <c r="N65" i="1" s="1"/>
  <c r="O18" i="1"/>
  <c r="O54" i="1" s="1"/>
  <c r="O55" i="1" s="1"/>
  <c r="O56" i="1" s="1"/>
  <c r="O57" i="1" s="1"/>
  <c r="O58" i="1" s="1"/>
  <c r="O59" i="1" s="1"/>
  <c r="O60" i="1" s="1"/>
  <c r="O61" i="1" s="1"/>
  <c r="O62" i="1" s="1"/>
  <c r="O63" i="1" s="1"/>
  <c r="O64" i="1" s="1"/>
  <c r="O65" i="1" s="1"/>
  <c r="H19" i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I19" i="1"/>
  <c r="I67" i="1" s="1"/>
  <c r="I68" i="1" s="1"/>
  <c r="I69" i="1" s="1"/>
  <c r="I70" i="1" s="1"/>
  <c r="I71" i="1" s="1"/>
  <c r="I72" i="1" s="1"/>
  <c r="I73" i="1" s="1"/>
  <c r="I74" i="1" s="1"/>
  <c r="I75" i="1" s="1"/>
  <c r="I76" i="1" s="1"/>
  <c r="I77" i="1" s="1"/>
  <c r="I78" i="1" s="1"/>
  <c r="J19" i="1"/>
  <c r="J67" i="1" s="1"/>
  <c r="J68" i="1" s="1"/>
  <c r="J69" i="1" s="1"/>
  <c r="J70" i="1" s="1"/>
  <c r="J71" i="1" s="1"/>
  <c r="J72" i="1" s="1"/>
  <c r="J73" i="1" s="1"/>
  <c r="J74" i="1" s="1"/>
  <c r="J75" i="1" s="1"/>
  <c r="J76" i="1" s="1"/>
  <c r="J77" i="1" s="1"/>
  <c r="J78" i="1" s="1"/>
  <c r="K19" i="1"/>
  <c r="K67" i="1" s="1"/>
  <c r="K68" i="1" s="1"/>
  <c r="K69" i="1" s="1"/>
  <c r="K70" i="1" s="1"/>
  <c r="K71" i="1" s="1"/>
  <c r="K72" i="1" s="1"/>
  <c r="K73" i="1" s="1"/>
  <c r="K74" i="1" s="1"/>
  <c r="K75" i="1" s="1"/>
  <c r="K76" i="1" s="1"/>
  <c r="K77" i="1" s="1"/>
  <c r="K78" i="1" s="1"/>
  <c r="L19" i="1"/>
  <c r="L67" i="1" s="1"/>
  <c r="L68" i="1" s="1"/>
  <c r="L69" i="1" s="1"/>
  <c r="L70" i="1" s="1"/>
  <c r="L71" i="1" s="1"/>
  <c r="L72" i="1" s="1"/>
  <c r="L73" i="1" s="1"/>
  <c r="L74" i="1" s="1"/>
  <c r="L75" i="1" s="1"/>
  <c r="L76" i="1" s="1"/>
  <c r="L77" i="1" s="1"/>
  <c r="L78" i="1" s="1"/>
  <c r="M19" i="1"/>
  <c r="M67" i="1" s="1"/>
  <c r="M68" i="1" s="1"/>
  <c r="M69" i="1" s="1"/>
  <c r="M70" i="1" s="1"/>
  <c r="M71" i="1" s="1"/>
  <c r="M72" i="1" s="1"/>
  <c r="M73" i="1" s="1"/>
  <c r="M74" i="1" s="1"/>
  <c r="M75" i="1" s="1"/>
  <c r="M76" i="1" s="1"/>
  <c r="M77" i="1" s="1"/>
  <c r="M78" i="1" s="1"/>
  <c r="N19" i="1"/>
  <c r="N67" i="1" s="1"/>
  <c r="N68" i="1" s="1"/>
  <c r="N69" i="1" s="1"/>
  <c r="N70" i="1" s="1"/>
  <c r="N71" i="1" s="1"/>
  <c r="N72" i="1" s="1"/>
  <c r="N73" i="1" s="1"/>
  <c r="N74" i="1" s="1"/>
  <c r="N75" i="1" s="1"/>
  <c r="N76" i="1" s="1"/>
  <c r="N77" i="1" s="1"/>
  <c r="N78" i="1" s="1"/>
  <c r="O19" i="1"/>
  <c r="O67" i="1" s="1"/>
  <c r="O68" i="1" s="1"/>
  <c r="O69" i="1" s="1"/>
  <c r="O70" i="1" s="1"/>
  <c r="O71" i="1" s="1"/>
  <c r="O72" i="1" s="1"/>
  <c r="O73" i="1" s="1"/>
  <c r="O74" i="1" s="1"/>
  <c r="O75" i="1" s="1"/>
  <c r="O76" i="1" s="1"/>
  <c r="O77" i="1" s="1"/>
  <c r="O78" i="1" s="1"/>
  <c r="H20" i="1"/>
  <c r="H80" i="1" s="1"/>
  <c r="H81" i="1" s="1"/>
  <c r="H82" i="1" s="1"/>
  <c r="H83" i="1" s="1"/>
  <c r="H84" i="1" s="1"/>
  <c r="H85" i="1" s="1"/>
  <c r="H86" i="1" s="1"/>
  <c r="H87" i="1" s="1"/>
  <c r="H88" i="1" s="1"/>
  <c r="H89" i="1" s="1"/>
  <c r="H90" i="1" s="1"/>
  <c r="H91" i="1" s="1"/>
  <c r="I20" i="1"/>
  <c r="I80" i="1" s="1"/>
  <c r="I81" i="1" s="1"/>
  <c r="I82" i="1" s="1"/>
  <c r="I83" i="1" s="1"/>
  <c r="I84" i="1" s="1"/>
  <c r="I85" i="1" s="1"/>
  <c r="I86" i="1" s="1"/>
  <c r="I87" i="1" s="1"/>
  <c r="I88" i="1" s="1"/>
  <c r="I89" i="1" s="1"/>
  <c r="I90" i="1" s="1"/>
  <c r="I91" i="1" s="1"/>
  <c r="J20" i="1"/>
  <c r="J80" i="1" s="1"/>
  <c r="J81" i="1" s="1"/>
  <c r="J82" i="1" s="1"/>
  <c r="J83" i="1" s="1"/>
  <c r="J84" i="1" s="1"/>
  <c r="J85" i="1" s="1"/>
  <c r="J86" i="1" s="1"/>
  <c r="J87" i="1" s="1"/>
  <c r="J88" i="1" s="1"/>
  <c r="J89" i="1" s="1"/>
  <c r="J90" i="1" s="1"/>
  <c r="J91" i="1" s="1"/>
  <c r="K20" i="1"/>
  <c r="K80" i="1" s="1"/>
  <c r="K81" i="1" s="1"/>
  <c r="K82" i="1" s="1"/>
  <c r="K83" i="1" s="1"/>
  <c r="K84" i="1" s="1"/>
  <c r="K85" i="1" s="1"/>
  <c r="K86" i="1" s="1"/>
  <c r="K87" i="1" s="1"/>
  <c r="K88" i="1" s="1"/>
  <c r="K89" i="1" s="1"/>
  <c r="K90" i="1" s="1"/>
  <c r="K91" i="1" s="1"/>
  <c r="L20" i="1"/>
  <c r="L80" i="1" s="1"/>
  <c r="L81" i="1" s="1"/>
  <c r="L82" i="1" s="1"/>
  <c r="L83" i="1" s="1"/>
  <c r="L84" i="1" s="1"/>
  <c r="L85" i="1" s="1"/>
  <c r="L86" i="1" s="1"/>
  <c r="L87" i="1" s="1"/>
  <c r="L88" i="1" s="1"/>
  <c r="L89" i="1" s="1"/>
  <c r="L90" i="1" s="1"/>
  <c r="L91" i="1" s="1"/>
  <c r="M20" i="1"/>
  <c r="M80" i="1" s="1"/>
  <c r="M81" i="1" s="1"/>
  <c r="M82" i="1" s="1"/>
  <c r="M83" i="1" s="1"/>
  <c r="M84" i="1" s="1"/>
  <c r="M85" i="1" s="1"/>
  <c r="M86" i="1" s="1"/>
  <c r="M87" i="1" s="1"/>
  <c r="M88" i="1" s="1"/>
  <c r="M89" i="1" s="1"/>
  <c r="M90" i="1" s="1"/>
  <c r="M91" i="1" s="1"/>
  <c r="N20" i="1"/>
  <c r="N80" i="1" s="1"/>
  <c r="N81" i="1" s="1"/>
  <c r="N82" i="1" s="1"/>
  <c r="N83" i="1" s="1"/>
  <c r="N84" i="1" s="1"/>
  <c r="N85" i="1" s="1"/>
  <c r="N86" i="1" s="1"/>
  <c r="N87" i="1" s="1"/>
  <c r="N88" i="1" s="1"/>
  <c r="N89" i="1" s="1"/>
  <c r="N90" i="1" s="1"/>
  <c r="N91" i="1" s="1"/>
  <c r="O20" i="1"/>
  <c r="O80" i="1" s="1"/>
  <c r="O81" i="1" s="1"/>
  <c r="O82" i="1" s="1"/>
  <c r="O83" i="1" s="1"/>
  <c r="O84" i="1" s="1"/>
  <c r="O85" i="1" s="1"/>
  <c r="O86" i="1" s="1"/>
  <c r="O87" i="1" s="1"/>
  <c r="O88" i="1" s="1"/>
  <c r="O89" i="1" s="1"/>
  <c r="O90" i="1" s="1"/>
  <c r="O91" i="1" s="1"/>
  <c r="H21" i="1"/>
  <c r="H93" i="1" s="1"/>
  <c r="H94" i="1" s="1"/>
  <c r="H95" i="1" s="1"/>
  <c r="H96" i="1" s="1"/>
  <c r="H97" i="1" s="1"/>
  <c r="H98" i="1" s="1"/>
  <c r="H99" i="1" s="1"/>
  <c r="H100" i="1" s="1"/>
  <c r="H101" i="1" s="1"/>
  <c r="H102" i="1" s="1"/>
  <c r="H103" i="1" s="1"/>
  <c r="H104" i="1" s="1"/>
  <c r="I21" i="1"/>
  <c r="I93" i="1" s="1"/>
  <c r="I94" i="1" s="1"/>
  <c r="I95" i="1" s="1"/>
  <c r="I96" i="1" s="1"/>
  <c r="I97" i="1" s="1"/>
  <c r="I98" i="1" s="1"/>
  <c r="I99" i="1" s="1"/>
  <c r="I100" i="1" s="1"/>
  <c r="I101" i="1" s="1"/>
  <c r="I102" i="1" s="1"/>
  <c r="I103" i="1" s="1"/>
  <c r="I104" i="1" s="1"/>
  <c r="J21" i="1"/>
  <c r="J93" i="1" s="1"/>
  <c r="J94" i="1" s="1"/>
  <c r="J95" i="1" s="1"/>
  <c r="J96" i="1" s="1"/>
  <c r="J97" i="1" s="1"/>
  <c r="J98" i="1" s="1"/>
  <c r="J99" i="1" s="1"/>
  <c r="J100" i="1" s="1"/>
  <c r="J101" i="1" s="1"/>
  <c r="J102" i="1" s="1"/>
  <c r="J103" i="1" s="1"/>
  <c r="J104" i="1" s="1"/>
  <c r="K21" i="1"/>
  <c r="K93" i="1" s="1"/>
  <c r="K94" i="1" s="1"/>
  <c r="K95" i="1" s="1"/>
  <c r="K96" i="1" s="1"/>
  <c r="K97" i="1" s="1"/>
  <c r="K98" i="1" s="1"/>
  <c r="K99" i="1" s="1"/>
  <c r="K100" i="1" s="1"/>
  <c r="K101" i="1" s="1"/>
  <c r="K102" i="1" s="1"/>
  <c r="K103" i="1" s="1"/>
  <c r="K104" i="1" s="1"/>
  <c r="L21" i="1"/>
  <c r="L93" i="1" s="1"/>
  <c r="L94" i="1" s="1"/>
  <c r="L95" i="1" s="1"/>
  <c r="L96" i="1" s="1"/>
  <c r="L97" i="1" s="1"/>
  <c r="L98" i="1" s="1"/>
  <c r="L99" i="1" s="1"/>
  <c r="L100" i="1" s="1"/>
  <c r="L101" i="1" s="1"/>
  <c r="L102" i="1" s="1"/>
  <c r="L103" i="1" s="1"/>
  <c r="L104" i="1" s="1"/>
  <c r="M21" i="1"/>
  <c r="M93" i="1" s="1"/>
  <c r="M94" i="1" s="1"/>
  <c r="M95" i="1" s="1"/>
  <c r="M96" i="1" s="1"/>
  <c r="M97" i="1" s="1"/>
  <c r="M98" i="1" s="1"/>
  <c r="M99" i="1" s="1"/>
  <c r="M100" i="1" s="1"/>
  <c r="M101" i="1" s="1"/>
  <c r="M102" i="1" s="1"/>
  <c r="M103" i="1" s="1"/>
  <c r="M104" i="1" s="1"/>
  <c r="N21" i="1"/>
  <c r="N93" i="1" s="1"/>
  <c r="N94" i="1" s="1"/>
  <c r="N95" i="1" s="1"/>
  <c r="N96" i="1" s="1"/>
  <c r="N97" i="1" s="1"/>
  <c r="N98" i="1" s="1"/>
  <c r="N99" i="1" s="1"/>
  <c r="N100" i="1" s="1"/>
  <c r="N101" i="1" s="1"/>
  <c r="N102" i="1" s="1"/>
  <c r="N103" i="1" s="1"/>
  <c r="N104" i="1" s="1"/>
  <c r="O21" i="1"/>
  <c r="O93" i="1" s="1"/>
  <c r="O94" i="1" s="1"/>
  <c r="O95" i="1" s="1"/>
  <c r="O96" i="1" s="1"/>
  <c r="O97" i="1" s="1"/>
  <c r="O98" i="1" s="1"/>
  <c r="O99" i="1" s="1"/>
  <c r="O100" i="1" s="1"/>
  <c r="O101" i="1" s="1"/>
  <c r="O102" i="1" s="1"/>
  <c r="O103" i="1" s="1"/>
  <c r="O104" i="1" s="1"/>
  <c r="G17" i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18" i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G19" i="1"/>
  <c r="G67" i="1" s="1"/>
  <c r="G68" i="1" s="1"/>
  <c r="G69" i="1" s="1"/>
  <c r="G70" i="1" s="1"/>
  <c r="G71" i="1" s="1"/>
  <c r="G72" i="1" s="1"/>
  <c r="G73" i="1" s="1"/>
  <c r="G74" i="1" s="1"/>
  <c r="G75" i="1" s="1"/>
  <c r="G76" i="1" s="1"/>
  <c r="G77" i="1" s="1"/>
  <c r="G78" i="1" s="1"/>
  <c r="G20" i="1"/>
  <c r="G80" i="1" s="1"/>
  <c r="G81" i="1" s="1"/>
  <c r="G82" i="1" s="1"/>
  <c r="G83" i="1" s="1"/>
  <c r="G84" i="1" s="1"/>
  <c r="G85" i="1" s="1"/>
  <c r="G86" i="1" s="1"/>
  <c r="G87" i="1" s="1"/>
  <c r="G88" i="1" s="1"/>
  <c r="G89" i="1" s="1"/>
  <c r="G90" i="1" s="1"/>
  <c r="G91" i="1" s="1"/>
  <c r="G21" i="1"/>
  <c r="G93" i="1" s="1"/>
  <c r="G94" i="1" s="1"/>
  <c r="G95" i="1" s="1"/>
  <c r="G96" i="1" s="1"/>
  <c r="G97" i="1" s="1"/>
  <c r="G98" i="1" s="1"/>
  <c r="G99" i="1" s="1"/>
  <c r="G100" i="1" s="1"/>
  <c r="G101" i="1" s="1"/>
  <c r="G102" i="1" s="1"/>
  <c r="G103" i="1" s="1"/>
  <c r="G104" i="1" s="1"/>
  <c r="G16" i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15" i="1"/>
  <c r="H15" i="1"/>
  <c r="I15" i="1"/>
  <c r="J15" i="1"/>
  <c r="K15" i="1"/>
  <c r="L15" i="1"/>
  <c r="M15" i="1"/>
  <c r="N15" i="1"/>
  <c r="O15" i="1"/>
  <c r="F16" i="1"/>
  <c r="F17" i="1"/>
  <c r="F18" i="1"/>
  <c r="F19" i="1"/>
  <c r="F20" i="1"/>
  <c r="F21" i="1"/>
  <c r="T104" i="1" l="1"/>
  <c r="AX104" i="1" s="1"/>
  <c r="BH104" i="1" s="1"/>
  <c r="AX103" i="1"/>
  <c r="BH103" i="1" s="1"/>
  <c r="R104" i="1"/>
  <c r="AV104" i="1" s="1"/>
  <c r="BF104" i="1" s="1"/>
  <c r="AV103" i="1"/>
  <c r="BF103" i="1" s="1"/>
  <c r="V96" i="1"/>
  <c r="AZ96" i="1" s="1"/>
  <c r="BJ96" i="1" s="1"/>
  <c r="AZ95" i="1"/>
  <c r="BJ95" i="1" s="1"/>
  <c r="T100" i="1"/>
  <c r="AX100" i="1" s="1"/>
  <c r="BH100" i="1" s="1"/>
  <c r="AX99" i="1"/>
  <c r="BH99" i="1" s="1"/>
  <c r="X100" i="1"/>
  <c r="BB100" i="1" s="1"/>
  <c r="BL100" i="1" s="1"/>
  <c r="BB99" i="1"/>
  <c r="BL99" i="1" s="1"/>
  <c r="U100" i="1"/>
  <c r="AY100" i="1" s="1"/>
  <c r="AY99" i="1"/>
  <c r="S96" i="1"/>
  <c r="AW96" i="1" s="1"/>
  <c r="BG96" i="1" s="1"/>
  <c r="AW95" i="1"/>
  <c r="BG95" i="1" s="1"/>
  <c r="U104" i="1"/>
  <c r="AY104" i="1" s="1"/>
  <c r="AY103" i="1"/>
  <c r="Y100" i="1"/>
  <c r="BC100" i="1" s="1"/>
  <c r="BM100" i="1" s="1"/>
  <c r="BC99" i="1"/>
  <c r="BM99" i="1" s="1"/>
  <c r="Q104" i="1"/>
  <c r="AU104" i="1" s="1"/>
  <c r="BE104" i="1" s="1"/>
  <c r="AU103" i="1"/>
  <c r="BE103" i="1" s="1"/>
  <c r="R100" i="1"/>
  <c r="AV100" i="1" s="1"/>
  <c r="BF100" i="1" s="1"/>
  <c r="AV99" i="1"/>
  <c r="BF99" i="1" s="1"/>
  <c r="Q100" i="1"/>
  <c r="AU100" i="1" s="1"/>
  <c r="BE100" i="1" s="1"/>
  <c r="AU99" i="1"/>
  <c r="BE99" i="1" s="1"/>
  <c r="W104" i="1"/>
  <c r="BA104" i="1" s="1"/>
  <c r="BK104" i="1" s="1"/>
  <c r="BA103" i="1"/>
  <c r="BK103" i="1" s="1"/>
  <c r="V100" i="1"/>
  <c r="AZ100" i="1" s="1"/>
  <c r="BJ100" i="1" s="1"/>
  <c r="AZ99" i="1"/>
  <c r="BJ99" i="1" s="1"/>
  <c r="S100" i="1"/>
  <c r="AW100" i="1" s="1"/>
  <c r="BG100" i="1" s="1"/>
  <c r="AW99" i="1"/>
  <c r="BG99" i="1" s="1"/>
  <c r="T96" i="1"/>
  <c r="AX96" i="1" s="1"/>
  <c r="BH96" i="1" s="1"/>
  <c r="AX95" i="1"/>
  <c r="BH95" i="1" s="1"/>
  <c r="R96" i="1"/>
  <c r="AV96" i="1" s="1"/>
  <c r="BF96" i="1" s="1"/>
  <c r="AV95" i="1"/>
  <c r="BF95" i="1" s="1"/>
  <c r="S104" i="1"/>
  <c r="AW104" i="1" s="1"/>
  <c r="BG104" i="1" s="1"/>
  <c r="AW103" i="1"/>
  <c r="BG103" i="1" s="1"/>
  <c r="W96" i="1"/>
  <c r="BA96" i="1" s="1"/>
  <c r="BK96" i="1" s="1"/>
  <c r="BA95" i="1"/>
  <c r="BK95" i="1" s="1"/>
  <c r="X96" i="1"/>
  <c r="BB96" i="1" s="1"/>
  <c r="BL96" i="1" s="1"/>
  <c r="BB95" i="1"/>
  <c r="BL95" i="1" s="1"/>
  <c r="X104" i="1"/>
  <c r="BB104" i="1" s="1"/>
  <c r="BL104" i="1" s="1"/>
  <c r="BB103" i="1"/>
  <c r="BL103" i="1" s="1"/>
  <c r="Y96" i="1"/>
  <c r="BC96" i="1" s="1"/>
  <c r="BM96" i="1" s="1"/>
  <c r="BC95" i="1"/>
  <c r="BM95" i="1" s="1"/>
  <c r="U96" i="1"/>
  <c r="AY96" i="1" s="1"/>
  <c r="AY95" i="1"/>
  <c r="BI95" i="1" s="1"/>
  <c r="V104" i="1"/>
  <c r="AZ104" i="1" s="1"/>
  <c r="BJ104" i="1" s="1"/>
  <c r="AZ103" i="1"/>
  <c r="BJ103" i="1" s="1"/>
  <c r="W100" i="1"/>
  <c r="BA100" i="1" s="1"/>
  <c r="BK100" i="1" s="1"/>
  <c r="BA99" i="1"/>
  <c r="BK99" i="1" s="1"/>
  <c r="Y104" i="1"/>
  <c r="BC104" i="1" s="1"/>
  <c r="BM104" i="1" s="1"/>
  <c r="BC103" i="1"/>
  <c r="BM103" i="1" s="1"/>
  <c r="Q96" i="1"/>
  <c r="AU96" i="1" s="1"/>
  <c r="BE96" i="1" s="1"/>
  <c r="AU95" i="1"/>
  <c r="BE95" i="1" s="1"/>
  <c r="T83" i="1"/>
  <c r="AX83" i="1" s="1"/>
  <c r="AX82" i="1"/>
  <c r="T87" i="1"/>
  <c r="AX87" i="1" s="1"/>
  <c r="AX86" i="1"/>
  <c r="T91" i="1"/>
  <c r="AX91" i="1" s="1"/>
  <c r="AX90" i="1"/>
  <c r="V87" i="1"/>
  <c r="AZ87" i="1" s="1"/>
  <c r="AZ86" i="1"/>
  <c r="Q83" i="1"/>
  <c r="AU83" i="1" s="1"/>
  <c r="AU82" i="1"/>
  <c r="X87" i="1"/>
  <c r="BB87" i="1" s="1"/>
  <c r="BB86" i="1"/>
  <c r="Q91" i="1"/>
  <c r="AU91" i="1" s="1"/>
  <c r="AU90" i="1"/>
  <c r="Y87" i="1"/>
  <c r="BC87" i="1" s="1"/>
  <c r="BC86" i="1"/>
  <c r="X83" i="1"/>
  <c r="BB83" i="1" s="1"/>
  <c r="BB82" i="1"/>
  <c r="Y83" i="1"/>
  <c r="BC83" i="1" s="1"/>
  <c r="BC82" i="1"/>
  <c r="W91" i="1"/>
  <c r="BA91" i="1" s="1"/>
  <c r="BA90" i="1"/>
  <c r="Y91" i="1"/>
  <c r="BC91" i="1" s="1"/>
  <c r="BC90" i="1"/>
  <c r="S91" i="1"/>
  <c r="AW91" i="1" s="1"/>
  <c r="AW90" i="1"/>
  <c r="X91" i="1"/>
  <c r="BB91" i="1" s="1"/>
  <c r="BB90" i="1"/>
  <c r="U91" i="1"/>
  <c r="AY91" i="1" s="1"/>
  <c r="AY90" i="1"/>
  <c r="U83" i="1"/>
  <c r="AY83" i="1" s="1"/>
  <c r="AY82" i="1"/>
  <c r="R91" i="1"/>
  <c r="AV91" i="1" s="1"/>
  <c r="AV90" i="1"/>
  <c r="Q87" i="1"/>
  <c r="AU87" i="1" s="1"/>
  <c r="AU86" i="1"/>
  <c r="U87" i="1"/>
  <c r="AY87" i="1" s="1"/>
  <c r="AY86" i="1"/>
  <c r="R87" i="1"/>
  <c r="AV87" i="1" s="1"/>
  <c r="AV86" i="1"/>
  <c r="S83" i="1"/>
  <c r="AW83" i="1" s="1"/>
  <c r="AW82" i="1"/>
  <c r="V91" i="1"/>
  <c r="AZ91" i="1" s="1"/>
  <c r="AZ90" i="1"/>
  <c r="V83" i="1"/>
  <c r="AZ83" i="1" s="1"/>
  <c r="AZ82" i="1"/>
  <c r="R83" i="1"/>
  <c r="AV83" i="1" s="1"/>
  <c r="AV82" i="1"/>
  <c r="W83" i="1"/>
  <c r="BA83" i="1" s="1"/>
  <c r="BA82" i="1"/>
  <c r="W87" i="1"/>
  <c r="BA87" i="1" s="1"/>
  <c r="BA86" i="1"/>
  <c r="S87" i="1"/>
  <c r="AW87" i="1" s="1"/>
  <c r="AW86" i="1"/>
  <c r="U70" i="1"/>
  <c r="AY70" i="1" s="1"/>
  <c r="AY69" i="1"/>
  <c r="Y70" i="1"/>
  <c r="BC70" i="1" s="1"/>
  <c r="BC69" i="1"/>
  <c r="V70" i="1"/>
  <c r="AZ70" i="1" s="1"/>
  <c r="AZ69" i="1"/>
  <c r="Y74" i="1"/>
  <c r="BC74" i="1" s="1"/>
  <c r="BC73" i="1"/>
  <c r="S78" i="1"/>
  <c r="AW78" i="1" s="1"/>
  <c r="AW77" i="1"/>
  <c r="U78" i="1"/>
  <c r="AY78" i="1" s="1"/>
  <c r="AY77" i="1"/>
  <c r="Q70" i="1"/>
  <c r="AU70" i="1" s="1"/>
  <c r="AU69" i="1"/>
  <c r="X78" i="1"/>
  <c r="BB78" i="1" s="1"/>
  <c r="BB77" i="1"/>
  <c r="V74" i="1"/>
  <c r="AZ74" i="1" s="1"/>
  <c r="AZ73" i="1"/>
  <c r="X70" i="1"/>
  <c r="BB70" i="1" s="1"/>
  <c r="BB69" i="1"/>
  <c r="T74" i="1"/>
  <c r="AX74" i="1" s="1"/>
  <c r="AX73" i="1"/>
  <c r="R70" i="1"/>
  <c r="AV70" i="1" s="1"/>
  <c r="AV69" i="1"/>
  <c r="W78" i="1"/>
  <c r="BA78" i="1" s="1"/>
  <c r="BA77" i="1"/>
  <c r="S70" i="1"/>
  <c r="AW70" i="1" s="1"/>
  <c r="AW69" i="1"/>
  <c r="T78" i="1"/>
  <c r="AX78" i="1" s="1"/>
  <c r="AX77" i="1"/>
  <c r="W74" i="1"/>
  <c r="BA74" i="1" s="1"/>
  <c r="BA73" i="1"/>
  <c r="R74" i="1"/>
  <c r="AV74" i="1" s="1"/>
  <c r="AV73" i="1"/>
  <c r="Q78" i="1"/>
  <c r="AU78" i="1" s="1"/>
  <c r="AU77" i="1"/>
  <c r="Q74" i="1"/>
  <c r="AU74" i="1" s="1"/>
  <c r="AU73" i="1"/>
  <c r="S74" i="1"/>
  <c r="AW74" i="1" s="1"/>
  <c r="AW73" i="1"/>
  <c r="T70" i="1"/>
  <c r="AX70" i="1" s="1"/>
  <c r="AX69" i="1"/>
  <c r="W70" i="1"/>
  <c r="BA70" i="1" s="1"/>
  <c r="BA69" i="1"/>
  <c r="X74" i="1"/>
  <c r="BB74" i="1" s="1"/>
  <c r="BB73" i="1"/>
  <c r="Y78" i="1"/>
  <c r="BC78" i="1" s="1"/>
  <c r="BC77" i="1"/>
  <c r="R78" i="1"/>
  <c r="AV78" i="1" s="1"/>
  <c r="AV77" i="1"/>
  <c r="V78" i="1"/>
  <c r="AZ78" i="1" s="1"/>
  <c r="AZ77" i="1"/>
  <c r="U74" i="1"/>
  <c r="AY74" i="1" s="1"/>
  <c r="AY73" i="1"/>
  <c r="V57" i="1"/>
  <c r="AZ57" i="1" s="1"/>
  <c r="AZ56" i="1"/>
  <c r="V65" i="1"/>
  <c r="AZ65" i="1" s="1"/>
  <c r="AZ64" i="1"/>
  <c r="X65" i="1"/>
  <c r="BB65" i="1" s="1"/>
  <c r="BB64" i="1"/>
  <c r="W61" i="1"/>
  <c r="BA61" i="1" s="1"/>
  <c r="BA60" i="1"/>
  <c r="X57" i="1"/>
  <c r="BB57" i="1" s="1"/>
  <c r="BB56" i="1"/>
  <c r="R61" i="1"/>
  <c r="AV61" i="1" s="1"/>
  <c r="AV60" i="1"/>
  <c r="Q57" i="1"/>
  <c r="AU57" i="1" s="1"/>
  <c r="AU56" i="1"/>
  <c r="U61" i="1"/>
  <c r="AY61" i="1" s="1"/>
  <c r="AY60" i="1"/>
  <c r="S61" i="1"/>
  <c r="AW61" i="1" s="1"/>
  <c r="AW60" i="1"/>
  <c r="Q65" i="1"/>
  <c r="AU65" i="1" s="1"/>
  <c r="AU64" i="1"/>
  <c r="Y61" i="1"/>
  <c r="BC61" i="1" s="1"/>
  <c r="BC60" i="1"/>
  <c r="W57" i="1"/>
  <c r="BA57" i="1" s="1"/>
  <c r="BA56" i="1"/>
  <c r="X61" i="1"/>
  <c r="BB61" i="1" s="1"/>
  <c r="BB60" i="1"/>
  <c r="Y57" i="1"/>
  <c r="BC57" i="1" s="1"/>
  <c r="BC56" i="1"/>
  <c r="T61" i="1"/>
  <c r="AX61" i="1" s="1"/>
  <c r="AX60" i="1"/>
  <c r="R65" i="1"/>
  <c r="AV65" i="1" s="1"/>
  <c r="AV64" i="1"/>
  <c r="T57" i="1"/>
  <c r="AX57" i="1" s="1"/>
  <c r="AX56" i="1"/>
  <c r="T65" i="1"/>
  <c r="AX65" i="1" s="1"/>
  <c r="AX64" i="1"/>
  <c r="U65" i="1"/>
  <c r="AY65" i="1" s="1"/>
  <c r="AY64" i="1"/>
  <c r="S57" i="1"/>
  <c r="AW57" i="1" s="1"/>
  <c r="AW56" i="1"/>
  <c r="Q61" i="1"/>
  <c r="AU61" i="1" s="1"/>
  <c r="AU60" i="1"/>
  <c r="R57" i="1"/>
  <c r="AV57" i="1" s="1"/>
  <c r="AV56" i="1"/>
  <c r="V61" i="1"/>
  <c r="AZ61" i="1" s="1"/>
  <c r="AZ60" i="1"/>
  <c r="S65" i="1"/>
  <c r="AW65" i="1" s="1"/>
  <c r="AW64" i="1"/>
  <c r="U57" i="1"/>
  <c r="AY57" i="1" s="1"/>
  <c r="AY56" i="1"/>
  <c r="W65" i="1"/>
  <c r="BA65" i="1" s="1"/>
  <c r="BA64" i="1"/>
  <c r="Y65" i="1"/>
  <c r="BC65" i="1" s="1"/>
  <c r="BC64" i="1"/>
  <c r="Q48" i="1"/>
  <c r="AU48" i="1" s="1"/>
  <c r="AU47" i="1"/>
  <c r="R48" i="1"/>
  <c r="AV48" i="1" s="1"/>
  <c r="AV47" i="1"/>
  <c r="Y52" i="1"/>
  <c r="BC52" i="1" s="1"/>
  <c r="BC51" i="1"/>
  <c r="S52" i="1"/>
  <c r="AW52" i="1" s="1"/>
  <c r="AW51" i="1"/>
  <c r="S44" i="1"/>
  <c r="AW44" i="1" s="1"/>
  <c r="AW43" i="1"/>
  <c r="X52" i="1"/>
  <c r="BB52" i="1" s="1"/>
  <c r="BB51" i="1"/>
  <c r="W44" i="1"/>
  <c r="BA44" i="1" s="1"/>
  <c r="BA43" i="1"/>
  <c r="Q52" i="1"/>
  <c r="AU52" i="1" s="1"/>
  <c r="AU51" i="1"/>
  <c r="V52" i="1"/>
  <c r="AZ52" i="1" s="1"/>
  <c r="AZ51" i="1"/>
  <c r="R52" i="1"/>
  <c r="AV52" i="1" s="1"/>
  <c r="AV51" i="1"/>
  <c r="U52" i="1"/>
  <c r="AY52" i="1" s="1"/>
  <c r="AY51" i="1"/>
  <c r="T48" i="1"/>
  <c r="AX48" i="1" s="1"/>
  <c r="BH48" i="1" s="1"/>
  <c r="AX47" i="1"/>
  <c r="BH47" i="1" s="1"/>
  <c r="V48" i="1"/>
  <c r="AZ48" i="1" s="1"/>
  <c r="AZ47" i="1"/>
  <c r="S48" i="1"/>
  <c r="AW48" i="1" s="1"/>
  <c r="AW47" i="1"/>
  <c r="W48" i="1"/>
  <c r="BA48" i="1" s="1"/>
  <c r="BA47" i="1"/>
  <c r="R44" i="1"/>
  <c r="AV44" i="1" s="1"/>
  <c r="AV43" i="1"/>
  <c r="Y48" i="1"/>
  <c r="BC48" i="1" s="1"/>
  <c r="BC47" i="1"/>
  <c r="V44" i="1"/>
  <c r="AZ44" i="1" s="1"/>
  <c r="AZ43" i="1"/>
  <c r="T52" i="1"/>
  <c r="AX52" i="1" s="1"/>
  <c r="AX51" i="1"/>
  <c r="T44" i="1"/>
  <c r="AX44" i="1" s="1"/>
  <c r="BH44" i="1" s="1"/>
  <c r="AX43" i="1"/>
  <c r="BH43" i="1" s="1"/>
  <c r="Q44" i="1"/>
  <c r="AU44" i="1" s="1"/>
  <c r="AU43" i="1"/>
  <c r="U44" i="1"/>
  <c r="AY44" i="1" s="1"/>
  <c r="AY43" i="1"/>
  <c r="W52" i="1"/>
  <c r="BA52" i="1" s="1"/>
  <c r="BA51" i="1"/>
  <c r="X48" i="1"/>
  <c r="BB48" i="1" s="1"/>
  <c r="BB47" i="1"/>
  <c r="U48" i="1"/>
  <c r="AY48" i="1" s="1"/>
  <c r="AY47" i="1"/>
  <c r="X44" i="1"/>
  <c r="BB44" i="1" s="1"/>
  <c r="BB43" i="1"/>
  <c r="Y44" i="1"/>
  <c r="BC44" i="1" s="1"/>
  <c r="BC43" i="1"/>
  <c r="R35" i="1"/>
  <c r="AV35" i="1" s="1"/>
  <c r="AV34" i="1"/>
  <c r="W39" i="1"/>
  <c r="BA39" i="1" s="1"/>
  <c r="BA38" i="1"/>
  <c r="T39" i="1"/>
  <c r="AX39" i="1" s="1"/>
  <c r="AX38" i="1"/>
  <c r="U35" i="1"/>
  <c r="AY35" i="1" s="1"/>
  <c r="AY34" i="1"/>
  <c r="Q35" i="1"/>
  <c r="AU35" i="1" s="1"/>
  <c r="AU34" i="1"/>
  <c r="U39" i="1"/>
  <c r="AY39" i="1" s="1"/>
  <c r="AY38" i="1"/>
  <c r="X39" i="1"/>
  <c r="BB39" i="1" s="1"/>
  <c r="BB38" i="1"/>
  <c r="V39" i="1"/>
  <c r="AZ39" i="1" s="1"/>
  <c r="AZ38" i="1"/>
  <c r="X35" i="1"/>
  <c r="BB35" i="1" s="1"/>
  <c r="BB34" i="1"/>
  <c r="W35" i="1"/>
  <c r="BA35" i="1" s="1"/>
  <c r="BA34" i="1"/>
  <c r="S39" i="1"/>
  <c r="AW39" i="1" s="1"/>
  <c r="AW38" i="1"/>
  <c r="Y35" i="1"/>
  <c r="BC35" i="1" s="1"/>
  <c r="BC34" i="1"/>
  <c r="T35" i="1"/>
  <c r="AX35" i="1" s="1"/>
  <c r="AX34" i="1"/>
  <c r="V35" i="1"/>
  <c r="AZ35" i="1" s="1"/>
  <c r="AZ34" i="1"/>
  <c r="S35" i="1"/>
  <c r="AW35" i="1" s="1"/>
  <c r="AW34" i="1"/>
  <c r="Q39" i="1"/>
  <c r="AU39" i="1" s="1"/>
  <c r="AU38" i="1"/>
  <c r="Y39" i="1"/>
  <c r="BC39" i="1" s="1"/>
  <c r="BC38" i="1"/>
  <c r="R39" i="1"/>
  <c r="AV39" i="1" s="1"/>
  <c r="AV38" i="1"/>
  <c r="T31" i="1"/>
  <c r="AX31" i="1" s="1"/>
  <c r="Y31" i="1"/>
  <c r="BC31" i="1" s="1"/>
  <c r="S31" i="1"/>
  <c r="AW31" i="1" s="1"/>
  <c r="W31" i="1"/>
  <c r="BA31" i="1" s="1"/>
  <c r="R31" i="1"/>
  <c r="AV31" i="1" s="1"/>
  <c r="V31" i="1"/>
  <c r="AZ31" i="1" s="1"/>
  <c r="X31" i="1"/>
  <c r="BB31" i="1" s="1"/>
  <c r="Q31" i="1"/>
  <c r="AU31" i="1" s="1"/>
  <c r="U31" i="1"/>
  <c r="AY31" i="1" s="1"/>
  <c r="BG54" i="1"/>
  <c r="BT54" i="1" s="1"/>
  <c r="BJ54" i="1"/>
  <c r="BW54" i="1" s="1"/>
  <c r="BL58" i="1"/>
  <c r="BY58" i="1" s="1"/>
  <c r="BF67" i="1"/>
  <c r="BS67" i="1" s="1"/>
  <c r="BI71" i="1"/>
  <c r="BV71" i="1" s="1"/>
  <c r="BG80" i="1"/>
  <c r="BT80" i="1" s="1"/>
  <c r="BJ84" i="1"/>
  <c r="BW84" i="1" s="1"/>
  <c r="BM88" i="1"/>
  <c r="BZ88" i="1" s="1"/>
  <c r="BK54" i="1"/>
  <c r="BX54" i="1" s="1"/>
  <c r="BE58" i="1"/>
  <c r="BR58" i="1" s="1"/>
  <c r="BI58" i="1"/>
  <c r="BV58" i="1" s="1"/>
  <c r="BM58" i="1"/>
  <c r="BZ58" i="1" s="1"/>
  <c r="BH62" i="1"/>
  <c r="BU62" i="1" s="1"/>
  <c r="BL62" i="1"/>
  <c r="BY62" i="1" s="1"/>
  <c r="BG67" i="1"/>
  <c r="BT67" i="1" s="1"/>
  <c r="BK67" i="1"/>
  <c r="BX67" i="1" s="1"/>
  <c r="BF71" i="1"/>
  <c r="BS71" i="1" s="1"/>
  <c r="BJ71" i="1"/>
  <c r="BW71" i="1" s="1"/>
  <c r="BE75" i="1"/>
  <c r="BR75" i="1" s="1"/>
  <c r="BI75" i="1"/>
  <c r="BV75" i="1" s="1"/>
  <c r="BM75" i="1"/>
  <c r="BZ75" i="1" s="1"/>
  <c r="BH80" i="1"/>
  <c r="BU80" i="1" s="1"/>
  <c r="BL80" i="1"/>
  <c r="BY80" i="1" s="1"/>
  <c r="BG84" i="1"/>
  <c r="BT84" i="1" s="1"/>
  <c r="BK84" i="1"/>
  <c r="BX84" i="1" s="1"/>
  <c r="BF88" i="1"/>
  <c r="BS88" i="1" s="1"/>
  <c r="BJ88" i="1"/>
  <c r="BW88" i="1" s="1"/>
  <c r="BF54" i="1"/>
  <c r="BS54" i="1" s="1"/>
  <c r="BH58" i="1"/>
  <c r="BU58" i="1" s="1"/>
  <c r="BK62" i="1"/>
  <c r="BX62" i="1" s="1"/>
  <c r="BJ67" i="1"/>
  <c r="BW67" i="1" s="1"/>
  <c r="BM71" i="1"/>
  <c r="BZ71" i="1" s="1"/>
  <c r="BL75" i="1"/>
  <c r="BY75" i="1" s="1"/>
  <c r="BF84" i="1"/>
  <c r="BS84" i="1" s="1"/>
  <c r="BI88" i="1"/>
  <c r="BV88" i="1" s="1"/>
  <c r="BH54" i="1"/>
  <c r="BU54" i="1" s="1"/>
  <c r="BL54" i="1"/>
  <c r="BY54" i="1" s="1"/>
  <c r="BF58" i="1"/>
  <c r="BS58" i="1" s="1"/>
  <c r="BJ58" i="1"/>
  <c r="BW58" i="1" s="1"/>
  <c r="BE62" i="1"/>
  <c r="BR62" i="1" s="1"/>
  <c r="BI62" i="1"/>
  <c r="BV62" i="1" s="1"/>
  <c r="BM62" i="1"/>
  <c r="BZ62" i="1" s="1"/>
  <c r="BH67" i="1"/>
  <c r="BU67" i="1" s="1"/>
  <c r="BL67" i="1"/>
  <c r="BY67" i="1" s="1"/>
  <c r="BG71" i="1"/>
  <c r="BT71" i="1" s="1"/>
  <c r="BK71" i="1"/>
  <c r="BX71" i="1" s="1"/>
  <c r="BF75" i="1"/>
  <c r="BS75" i="1" s="1"/>
  <c r="BJ75" i="1"/>
  <c r="BW75" i="1" s="1"/>
  <c r="BE80" i="1"/>
  <c r="BR80" i="1" s="1"/>
  <c r="BI80" i="1"/>
  <c r="BV80" i="1" s="1"/>
  <c r="BM80" i="1"/>
  <c r="BZ80" i="1" s="1"/>
  <c r="BH84" i="1"/>
  <c r="BU84" i="1" s="1"/>
  <c r="BL84" i="1"/>
  <c r="BY84" i="1" s="1"/>
  <c r="BG88" i="1"/>
  <c r="BT88" i="1" s="1"/>
  <c r="BK88" i="1"/>
  <c r="BX88" i="1" s="1"/>
  <c r="BG55" i="1"/>
  <c r="BT55" i="1" s="1"/>
  <c r="BG62" i="1"/>
  <c r="BT62" i="1" s="1"/>
  <c r="BE71" i="1"/>
  <c r="BR71" i="1" s="1"/>
  <c r="BH75" i="1"/>
  <c r="BU75" i="1" s="1"/>
  <c r="BK80" i="1"/>
  <c r="BX80" i="1" s="1"/>
  <c r="BE88" i="1"/>
  <c r="BR88" i="1" s="1"/>
  <c r="BE54" i="1"/>
  <c r="BR54" i="1" s="1"/>
  <c r="BI54" i="1"/>
  <c r="BV54" i="1" s="1"/>
  <c r="BM54" i="1"/>
  <c r="BZ54" i="1" s="1"/>
  <c r="BG58" i="1"/>
  <c r="BT58" i="1" s="1"/>
  <c r="BK58" i="1"/>
  <c r="BX58" i="1" s="1"/>
  <c r="BF62" i="1"/>
  <c r="BS62" i="1" s="1"/>
  <c r="BJ62" i="1"/>
  <c r="BW62" i="1" s="1"/>
  <c r="BE67" i="1"/>
  <c r="BR67" i="1" s="1"/>
  <c r="BI67" i="1"/>
  <c r="BV67" i="1" s="1"/>
  <c r="BM67" i="1"/>
  <c r="BZ67" i="1" s="1"/>
  <c r="BH71" i="1"/>
  <c r="BU71" i="1" s="1"/>
  <c r="BL71" i="1"/>
  <c r="BY71" i="1" s="1"/>
  <c r="BG75" i="1"/>
  <c r="BT75" i="1" s="1"/>
  <c r="BK75" i="1"/>
  <c r="BX75" i="1" s="1"/>
  <c r="BF80" i="1"/>
  <c r="BS80" i="1" s="1"/>
  <c r="BJ80" i="1"/>
  <c r="BW80" i="1" s="1"/>
  <c r="BE84" i="1"/>
  <c r="BR84" i="1" s="1"/>
  <c r="BI84" i="1"/>
  <c r="BV84" i="1" s="1"/>
  <c r="BM84" i="1"/>
  <c r="BZ84" i="1" s="1"/>
  <c r="BH88" i="1"/>
  <c r="BU88" i="1" s="1"/>
  <c r="BL88" i="1"/>
  <c r="BY88" i="1" s="1"/>
  <c r="BJ28" i="1"/>
  <c r="CK28" i="1" s="1"/>
  <c r="BH32" i="1" l="1"/>
  <c r="BU32" i="1" s="1"/>
  <c r="BJ32" i="1"/>
  <c r="BW32" i="1" s="1"/>
  <c r="BE36" i="1"/>
  <c r="CF36" i="1" s="1"/>
  <c r="BM36" i="1"/>
  <c r="CN36" i="1" s="1"/>
  <c r="BF32" i="1"/>
  <c r="BS32" i="1" s="1"/>
  <c r="BM32" i="1"/>
  <c r="BZ32" i="1" s="1"/>
  <c r="BL32" i="1"/>
  <c r="CM32" i="1" s="1"/>
  <c r="BH28" i="1"/>
  <c r="BU28" i="1" s="1"/>
  <c r="BE32" i="1"/>
  <c r="BR32" i="1" s="1"/>
  <c r="BJ36" i="1"/>
  <c r="BW36" i="1" s="1"/>
  <c r="BG28" i="1"/>
  <c r="CH28" i="1" s="1"/>
  <c r="BI36" i="1"/>
  <c r="CJ36" i="1" s="1"/>
  <c r="BL28" i="1"/>
  <c r="BY28" i="1" s="1"/>
  <c r="BI28" i="1"/>
  <c r="BV28" i="1" s="1"/>
  <c r="BK28" i="1"/>
  <c r="BX28" i="1" s="1"/>
  <c r="BK32" i="1"/>
  <c r="BX32" i="1" s="1"/>
  <c r="BM28" i="1"/>
  <c r="BZ28" i="1" s="1"/>
  <c r="BL36" i="1"/>
  <c r="BY36" i="1" s="1"/>
  <c r="BF36" i="1"/>
  <c r="BS36" i="1" s="1"/>
  <c r="BR28" i="1"/>
  <c r="BH36" i="1"/>
  <c r="BU36" i="1" s="1"/>
  <c r="BF28" i="1"/>
  <c r="BS28" i="1" s="1"/>
  <c r="BG36" i="1"/>
  <c r="CH36" i="1" s="1"/>
  <c r="BG32" i="1"/>
  <c r="CH32" i="1" s="1"/>
  <c r="BK36" i="1"/>
  <c r="BX36" i="1" s="1"/>
  <c r="BI32" i="1"/>
  <c r="BV32" i="1" s="1"/>
  <c r="BR93" i="1"/>
  <c r="BR101" i="1"/>
  <c r="CK93" i="1"/>
  <c r="CG97" i="1"/>
  <c r="BU93" i="1"/>
  <c r="BT101" i="1"/>
  <c r="CK101" i="1"/>
  <c r="CG101" i="1"/>
  <c r="BX93" i="1"/>
  <c r="BY101" i="1"/>
  <c r="CM97" i="1"/>
  <c r="BT97" i="1"/>
  <c r="BS93" i="1"/>
  <c r="BT93" i="1"/>
  <c r="CI101" i="1"/>
  <c r="CL97" i="1"/>
  <c r="BU97" i="1"/>
  <c r="BW97" i="1"/>
  <c r="CN97" i="1"/>
  <c r="CM93" i="1"/>
  <c r="BZ93" i="1"/>
  <c r="BR97" i="1"/>
  <c r="BX101" i="1"/>
  <c r="CN101" i="1"/>
  <c r="BL42" i="1"/>
  <c r="BY42" i="1" s="1"/>
  <c r="BE45" i="1"/>
  <c r="BR45" i="1" s="1"/>
  <c r="BE41" i="1"/>
  <c r="BR41" i="1" s="1"/>
  <c r="BE49" i="1"/>
  <c r="CF49" i="1" s="1"/>
  <c r="BF41" i="1"/>
  <c r="BS41" i="1" s="1"/>
  <c r="BK41" i="1"/>
  <c r="BX41" i="1" s="1"/>
  <c r="BG41" i="1"/>
  <c r="BT41" i="1" s="1"/>
  <c r="BK49" i="1"/>
  <c r="CL49" i="1" s="1"/>
  <c r="BJ45" i="1"/>
  <c r="BW45" i="1" s="1"/>
  <c r="BJ49" i="1"/>
  <c r="BW49" i="1" s="1"/>
  <c r="BU45" i="1"/>
  <c r="BF45" i="1"/>
  <c r="BS45" i="1" s="1"/>
  <c r="BI41" i="1"/>
  <c r="BV41" i="1" s="1"/>
  <c r="BF49" i="1"/>
  <c r="BS49" i="1" s="1"/>
  <c r="BH41" i="1"/>
  <c r="CI41" i="1" s="1"/>
  <c r="BL49" i="1"/>
  <c r="CM49" i="1" s="1"/>
  <c r="BG49" i="1"/>
  <c r="BT49" i="1" s="1"/>
  <c r="BI49" i="1"/>
  <c r="BV49" i="1" s="1"/>
  <c r="BK45" i="1"/>
  <c r="BX45" i="1" s="1"/>
  <c r="CI49" i="1"/>
  <c r="BJ41" i="1"/>
  <c r="BW41" i="1" s="1"/>
  <c r="BG45" i="1"/>
  <c r="BT45" i="1" s="1"/>
  <c r="BM45" i="1"/>
  <c r="BZ45" i="1" s="1"/>
  <c r="BM41" i="1"/>
  <c r="CN41" i="1" s="1"/>
  <c r="BM49" i="1"/>
  <c r="BZ49" i="1" s="1"/>
  <c r="BL45" i="1"/>
  <c r="BY45" i="1" s="1"/>
  <c r="BI45" i="1"/>
  <c r="BV45" i="1" s="1"/>
  <c r="BL41" i="1"/>
  <c r="CM41" i="1" s="1"/>
  <c r="CI71" i="1"/>
  <c r="CN54" i="1"/>
  <c r="CJ80" i="1"/>
  <c r="CN62" i="1"/>
  <c r="CL62" i="1"/>
  <c r="CJ75" i="1"/>
  <c r="CJ71" i="1"/>
  <c r="CJ84" i="1"/>
  <c r="CL75" i="1"/>
  <c r="CN67" i="1"/>
  <c r="CG62" i="1"/>
  <c r="CJ54" i="1"/>
  <c r="CL80" i="1"/>
  <c r="CH55" i="1"/>
  <c r="CM84" i="1"/>
  <c r="CF80" i="1"/>
  <c r="CH71" i="1"/>
  <c r="CJ62" i="1"/>
  <c r="CM54" i="1"/>
  <c r="CM75" i="1"/>
  <c r="CI58" i="1"/>
  <c r="CK88" i="1"/>
  <c r="CM80" i="1"/>
  <c r="CF75" i="1"/>
  <c r="CH67" i="1"/>
  <c r="CJ58" i="1"/>
  <c r="CN88" i="1"/>
  <c r="CG67" i="1"/>
  <c r="CN84" i="1"/>
  <c r="CK62" i="1"/>
  <c r="CH62" i="1"/>
  <c r="CG84" i="1"/>
  <c r="CN58" i="1"/>
  <c r="CM88" i="1"/>
  <c r="CF84" i="1"/>
  <c r="CH75" i="1"/>
  <c r="CJ67" i="1"/>
  <c r="CL58" i="1"/>
  <c r="CF54" i="1"/>
  <c r="CI75" i="1"/>
  <c r="CI84" i="1"/>
  <c r="CK75" i="1"/>
  <c r="CM67" i="1"/>
  <c r="CF62" i="1"/>
  <c r="CI54" i="1"/>
  <c r="CN71" i="1"/>
  <c r="CG54" i="1"/>
  <c r="CG88" i="1"/>
  <c r="CI80" i="1"/>
  <c r="CK71" i="1"/>
  <c r="CM62" i="1"/>
  <c r="CF58" i="1"/>
  <c r="CK84" i="1"/>
  <c r="CM58" i="1"/>
  <c r="CH54" i="1"/>
  <c r="CG80" i="1"/>
  <c r="CF88" i="1"/>
  <c r="CH88" i="1"/>
  <c r="CL71" i="1"/>
  <c r="CG58" i="1"/>
  <c r="CH84" i="1"/>
  <c r="CL67" i="1"/>
  <c r="CI88" i="1"/>
  <c r="CK80" i="1"/>
  <c r="CM71" i="1"/>
  <c r="CF67" i="1"/>
  <c r="CH58" i="1"/>
  <c r="CF71" i="1"/>
  <c r="CL88" i="1"/>
  <c r="CN80" i="1"/>
  <c r="CG75" i="1"/>
  <c r="CI67" i="1"/>
  <c r="CK58" i="1"/>
  <c r="CJ88" i="1"/>
  <c r="CK67" i="1"/>
  <c r="CL84" i="1"/>
  <c r="CN75" i="1"/>
  <c r="CG71" i="1"/>
  <c r="CI62" i="1"/>
  <c r="CL54" i="1"/>
  <c r="CH80" i="1"/>
  <c r="CK54" i="1"/>
  <c r="CF32" i="1"/>
  <c r="CK32" i="1"/>
  <c r="BL89" i="1"/>
  <c r="BY89" i="1" s="1"/>
  <c r="BM85" i="1"/>
  <c r="BZ85" i="1" s="1"/>
  <c r="BE85" i="1"/>
  <c r="BR85" i="1" s="1"/>
  <c r="BF81" i="1"/>
  <c r="BS81" i="1" s="1"/>
  <c r="BG76" i="1"/>
  <c r="BT76" i="1" s="1"/>
  <c r="BH72" i="1"/>
  <c r="BU72" i="1" s="1"/>
  <c r="BI68" i="1"/>
  <c r="BV68" i="1" s="1"/>
  <c r="BJ63" i="1"/>
  <c r="BW63" i="1" s="1"/>
  <c r="BK59" i="1"/>
  <c r="BX59" i="1" s="1"/>
  <c r="BM55" i="1"/>
  <c r="BZ55" i="1" s="1"/>
  <c r="BE55" i="1"/>
  <c r="BR55" i="1" s="1"/>
  <c r="BE89" i="1"/>
  <c r="BR89" i="1" s="1"/>
  <c r="BH76" i="1"/>
  <c r="BU76" i="1" s="1"/>
  <c r="BG63" i="1"/>
  <c r="BT63" i="1" s="1"/>
  <c r="BG89" i="1"/>
  <c r="BT89" i="1" s="1"/>
  <c r="BH85" i="1"/>
  <c r="BU85" i="1" s="1"/>
  <c r="BI81" i="1"/>
  <c r="BV81" i="1" s="1"/>
  <c r="BJ76" i="1"/>
  <c r="BW76" i="1" s="1"/>
  <c r="BK72" i="1"/>
  <c r="BX72" i="1" s="1"/>
  <c r="BL68" i="1"/>
  <c r="BY68" i="1" s="1"/>
  <c r="BM63" i="1"/>
  <c r="BZ63" i="1" s="1"/>
  <c r="BE63" i="1"/>
  <c r="BR63" i="1" s="1"/>
  <c r="BF59" i="1"/>
  <c r="BS59" i="1" s="1"/>
  <c r="BH55" i="1"/>
  <c r="BU55" i="1" s="1"/>
  <c r="BF85" i="1"/>
  <c r="BS85" i="1" s="1"/>
  <c r="BM72" i="1"/>
  <c r="BZ72" i="1" s="1"/>
  <c r="BK63" i="1"/>
  <c r="BX63" i="1" s="1"/>
  <c r="BF55" i="1"/>
  <c r="BS55" i="1" s="1"/>
  <c r="BF89" i="1"/>
  <c r="BS89" i="1" s="1"/>
  <c r="BG85" i="1"/>
  <c r="BT85" i="1" s="1"/>
  <c r="BH81" i="1"/>
  <c r="BU81" i="1" s="1"/>
  <c r="BI76" i="1"/>
  <c r="BV76" i="1" s="1"/>
  <c r="BJ72" i="1"/>
  <c r="BW72" i="1" s="1"/>
  <c r="BK68" i="1"/>
  <c r="BX68" i="1" s="1"/>
  <c r="BL63" i="1"/>
  <c r="BY63" i="1" s="1"/>
  <c r="BM59" i="1"/>
  <c r="BZ59" i="1" s="1"/>
  <c r="BE59" i="1"/>
  <c r="BR59" i="1" s="1"/>
  <c r="BJ85" i="1"/>
  <c r="BW85" i="1" s="1"/>
  <c r="BI72" i="1"/>
  <c r="BV72" i="1" s="1"/>
  <c r="BL59" i="1"/>
  <c r="BY59" i="1" s="1"/>
  <c r="BH89" i="1"/>
  <c r="BU89" i="1" s="1"/>
  <c r="BI85" i="1"/>
  <c r="BV85" i="1" s="1"/>
  <c r="BJ81" i="1"/>
  <c r="BW81" i="1" s="1"/>
  <c r="BK76" i="1"/>
  <c r="BX76" i="1" s="1"/>
  <c r="BL72" i="1"/>
  <c r="BY72" i="1" s="1"/>
  <c r="BM68" i="1"/>
  <c r="BZ68" i="1" s="1"/>
  <c r="BE68" i="1"/>
  <c r="BR68" i="1" s="1"/>
  <c r="BF63" i="1"/>
  <c r="BS63" i="1" s="1"/>
  <c r="BG59" i="1"/>
  <c r="BT59" i="1" s="1"/>
  <c r="BI55" i="1"/>
  <c r="BV55" i="1" s="1"/>
  <c r="BK81" i="1"/>
  <c r="BX81" i="1" s="1"/>
  <c r="BE72" i="1"/>
  <c r="BR72" i="1" s="1"/>
  <c r="BG57" i="1"/>
  <c r="BT57" i="1" s="1"/>
  <c r="BG56" i="1"/>
  <c r="BT56" i="1" s="1"/>
  <c r="BK89" i="1"/>
  <c r="BX89" i="1" s="1"/>
  <c r="BL85" i="1"/>
  <c r="BY85" i="1" s="1"/>
  <c r="BM81" i="1"/>
  <c r="BZ81" i="1" s="1"/>
  <c r="BE81" i="1"/>
  <c r="BR81" i="1" s="1"/>
  <c r="BF76" i="1"/>
  <c r="BS76" i="1" s="1"/>
  <c r="BG72" i="1"/>
  <c r="BT72" i="1" s="1"/>
  <c r="BH68" i="1"/>
  <c r="BU68" i="1" s="1"/>
  <c r="BI63" i="1"/>
  <c r="BV63" i="1" s="1"/>
  <c r="BJ59" i="1"/>
  <c r="BW59" i="1" s="1"/>
  <c r="BL55" i="1"/>
  <c r="BY55" i="1" s="1"/>
  <c r="BI89" i="1"/>
  <c r="BV89" i="1" s="1"/>
  <c r="BL76" i="1"/>
  <c r="BY76" i="1" s="1"/>
  <c r="BJ68" i="1"/>
  <c r="BW68" i="1" s="1"/>
  <c r="BH59" i="1"/>
  <c r="BU59" i="1" s="1"/>
  <c r="BJ89" i="1"/>
  <c r="BW89" i="1" s="1"/>
  <c r="BK85" i="1"/>
  <c r="BX85" i="1" s="1"/>
  <c r="BL81" i="1"/>
  <c r="BY81" i="1" s="1"/>
  <c r="BM76" i="1"/>
  <c r="BZ76" i="1" s="1"/>
  <c r="BE76" i="1"/>
  <c r="BR76" i="1" s="1"/>
  <c r="BF72" i="1"/>
  <c r="BS72" i="1" s="1"/>
  <c r="BG68" i="1"/>
  <c r="BT68" i="1" s="1"/>
  <c r="BH63" i="1"/>
  <c r="BU63" i="1" s="1"/>
  <c r="BI59" i="1"/>
  <c r="BV59" i="1" s="1"/>
  <c r="BK55" i="1"/>
  <c r="BX55" i="1" s="1"/>
  <c r="BM89" i="1"/>
  <c r="BZ89" i="1" s="1"/>
  <c r="BG81" i="1"/>
  <c r="BT81" i="1" s="1"/>
  <c r="BF68" i="1"/>
  <c r="BS68" i="1" s="1"/>
  <c r="BJ55" i="1"/>
  <c r="BW55" i="1" s="1"/>
  <c r="BJ29" i="1"/>
  <c r="CK29" i="1" s="1"/>
  <c r="CG28" i="1" l="1"/>
  <c r="CI28" i="1"/>
  <c r="CL36" i="1"/>
  <c r="CL32" i="1"/>
  <c r="CJ32" i="1"/>
  <c r="CM28" i="1"/>
  <c r="CH97" i="1"/>
  <c r="CJ28" i="1"/>
  <c r="CI93" i="1"/>
  <c r="CN32" i="1"/>
  <c r="BZ36" i="1"/>
  <c r="CI36" i="1"/>
  <c r="BW28" i="1"/>
  <c r="CF41" i="1"/>
  <c r="BV36" i="1"/>
  <c r="CF28" i="1"/>
  <c r="CN28" i="1"/>
  <c r="CK36" i="1"/>
  <c r="CI32" i="1"/>
  <c r="CI97" i="1"/>
  <c r="CH93" i="1"/>
  <c r="BT32" i="1"/>
  <c r="CM36" i="1"/>
  <c r="CG32" i="1"/>
  <c r="CF97" i="1"/>
  <c r="BL29" i="1"/>
  <c r="BY29" i="1" s="1"/>
  <c r="BG33" i="1"/>
  <c r="BT33" i="1" s="1"/>
  <c r="BJ37" i="1"/>
  <c r="CK37" i="1" s="1"/>
  <c r="CL28" i="1"/>
  <c r="CG36" i="1"/>
  <c r="BT36" i="1"/>
  <c r="BT28" i="1"/>
  <c r="BY32" i="1"/>
  <c r="BR36" i="1"/>
  <c r="BL37" i="1"/>
  <c r="BY37" i="1" s="1"/>
  <c r="BM33" i="1"/>
  <c r="BZ33" i="1" s="1"/>
  <c r="BM29" i="1"/>
  <c r="BZ29" i="1" s="1"/>
  <c r="BK29" i="1"/>
  <c r="BX29" i="1" s="1"/>
  <c r="BE29" i="1"/>
  <c r="CF29" i="1" s="1"/>
  <c r="BI33" i="1"/>
  <c r="BV33" i="1" s="1"/>
  <c r="BW29" i="1"/>
  <c r="BE37" i="1"/>
  <c r="BR37" i="1" s="1"/>
  <c r="BE33" i="1"/>
  <c r="CF33" i="1" s="1"/>
  <c r="BL33" i="1"/>
  <c r="BY33" i="1" s="1"/>
  <c r="CF101" i="1"/>
  <c r="CM101" i="1"/>
  <c r="BH37" i="1"/>
  <c r="BU37" i="1" s="1"/>
  <c r="BM37" i="1"/>
  <c r="BZ37" i="1" s="1"/>
  <c r="BF37" i="1"/>
  <c r="BS37" i="1" s="1"/>
  <c r="BI29" i="1"/>
  <c r="BV29" i="1" s="1"/>
  <c r="BG29" i="1"/>
  <c r="BT29" i="1" s="1"/>
  <c r="BG37" i="1"/>
  <c r="CH37" i="1" s="1"/>
  <c r="BF29" i="1"/>
  <c r="BS29" i="1" s="1"/>
  <c r="CK97" i="1"/>
  <c r="CJ49" i="1"/>
  <c r="BF33" i="1"/>
  <c r="BS33" i="1" s="1"/>
  <c r="BJ33" i="1"/>
  <c r="CK33" i="1" s="1"/>
  <c r="BH33" i="1"/>
  <c r="BU33" i="1" s="1"/>
  <c r="BK33" i="1"/>
  <c r="BX33" i="1" s="1"/>
  <c r="BK37" i="1"/>
  <c r="BX37" i="1" s="1"/>
  <c r="BI37" i="1"/>
  <c r="CJ37" i="1" s="1"/>
  <c r="BH29" i="1"/>
  <c r="BU29" i="1" s="1"/>
  <c r="CH101" i="1"/>
  <c r="CL93" i="1"/>
  <c r="CN93" i="1"/>
  <c r="CG93" i="1"/>
  <c r="CF93" i="1"/>
  <c r="CJ45" i="1"/>
  <c r="CL101" i="1"/>
  <c r="CN45" i="1"/>
  <c r="CM45" i="1"/>
  <c r="CI45" i="1"/>
  <c r="CL45" i="1"/>
  <c r="BZ98" i="1"/>
  <c r="BW94" i="1"/>
  <c r="CI94" i="1"/>
  <c r="BS98" i="1"/>
  <c r="BX102" i="1"/>
  <c r="BY102" i="1"/>
  <c r="BZ101" i="1"/>
  <c r="BY93" i="1"/>
  <c r="BX97" i="1"/>
  <c r="BS101" i="1"/>
  <c r="BS97" i="1"/>
  <c r="BT98" i="1"/>
  <c r="BU98" i="1"/>
  <c r="CL98" i="1"/>
  <c r="BU102" i="1"/>
  <c r="BZ102" i="1"/>
  <c r="BZ97" i="1"/>
  <c r="BU101" i="1"/>
  <c r="BY97" i="1"/>
  <c r="BW101" i="1"/>
  <c r="BW93" i="1"/>
  <c r="BR102" i="1"/>
  <c r="BW102" i="1"/>
  <c r="CH94" i="1"/>
  <c r="CM98" i="1"/>
  <c r="BX94" i="1"/>
  <c r="BR94" i="1"/>
  <c r="BS94" i="1"/>
  <c r="CG102" i="1"/>
  <c r="BW98" i="1"/>
  <c r="CH102" i="1"/>
  <c r="CN94" i="1"/>
  <c r="CF98" i="1"/>
  <c r="CH49" i="1"/>
  <c r="CK41" i="1"/>
  <c r="CN49" i="1"/>
  <c r="CK45" i="1"/>
  <c r="CM42" i="1"/>
  <c r="CG45" i="1"/>
  <c r="CH41" i="1"/>
  <c r="CG49" i="1"/>
  <c r="CH45" i="1"/>
  <c r="CL41" i="1"/>
  <c r="CG41" i="1"/>
  <c r="CK49" i="1"/>
  <c r="CF45" i="1"/>
  <c r="BG42" i="1"/>
  <c r="BT42" i="1" s="1"/>
  <c r="BF50" i="1"/>
  <c r="BS50" i="1" s="1"/>
  <c r="BE42" i="1"/>
  <c r="BR42" i="1" s="1"/>
  <c r="BE46" i="1"/>
  <c r="BR46" i="1" s="1"/>
  <c r="BL43" i="1"/>
  <c r="BY43" i="1" s="1"/>
  <c r="BJ46" i="1"/>
  <c r="BW46" i="1" s="1"/>
  <c r="BK50" i="1"/>
  <c r="BX50" i="1" s="1"/>
  <c r="BY41" i="1"/>
  <c r="BZ41" i="1"/>
  <c r="BU49" i="1"/>
  <c r="BY49" i="1"/>
  <c r="BX49" i="1"/>
  <c r="BR49" i="1"/>
  <c r="BM42" i="1"/>
  <c r="BZ42" i="1" s="1"/>
  <c r="BM46" i="1"/>
  <c r="CN46" i="1" s="1"/>
  <c r="BL44" i="1"/>
  <c r="BY44" i="1" s="1"/>
  <c r="BI50" i="1"/>
  <c r="BV50" i="1" s="1"/>
  <c r="BF46" i="1"/>
  <c r="CG46" i="1" s="1"/>
  <c r="BU46" i="1"/>
  <c r="BK46" i="1"/>
  <c r="BX46" i="1" s="1"/>
  <c r="BG50" i="1"/>
  <c r="BT50" i="1" s="1"/>
  <c r="BL50" i="1"/>
  <c r="BY50" i="1" s="1"/>
  <c r="BU41" i="1"/>
  <c r="BK42" i="1"/>
  <c r="BX42" i="1" s="1"/>
  <c r="BF42" i="1"/>
  <c r="BS42" i="1" s="1"/>
  <c r="BE50" i="1"/>
  <c r="CF50" i="1" s="1"/>
  <c r="BJ50" i="1"/>
  <c r="BW50" i="1" s="1"/>
  <c r="BI46" i="1"/>
  <c r="BV46" i="1" s="1"/>
  <c r="BL46" i="1"/>
  <c r="BY46" i="1" s="1"/>
  <c r="BM50" i="1"/>
  <c r="CN50" i="1" s="1"/>
  <c r="CJ41" i="1"/>
  <c r="BJ42" i="1"/>
  <c r="CK42" i="1" s="1"/>
  <c r="BH50" i="1"/>
  <c r="BU50" i="1" s="1"/>
  <c r="BI42" i="1"/>
  <c r="CJ42" i="1" s="1"/>
  <c r="BG46" i="1"/>
  <c r="BT46" i="1" s="1"/>
  <c r="CN89" i="1"/>
  <c r="CM81" i="1"/>
  <c r="CI59" i="1"/>
  <c r="CH72" i="1"/>
  <c r="CM72" i="1"/>
  <c r="CI81" i="1"/>
  <c r="CG85" i="1"/>
  <c r="CJ81" i="1"/>
  <c r="CI72" i="1"/>
  <c r="CK55" i="1"/>
  <c r="CL55" i="1"/>
  <c r="CG72" i="1"/>
  <c r="CL85" i="1"/>
  <c r="CK68" i="1"/>
  <c r="CK59" i="1"/>
  <c r="CG76" i="1"/>
  <c r="CL89" i="1"/>
  <c r="CL81" i="1"/>
  <c r="CG63" i="1"/>
  <c r="CL76" i="1"/>
  <c r="CL68" i="1"/>
  <c r="CH85" i="1"/>
  <c r="CG55" i="1"/>
  <c r="CI55" i="1"/>
  <c r="CM68" i="1"/>
  <c r="CI85" i="1"/>
  <c r="CI76" i="1"/>
  <c r="CL59" i="1"/>
  <c r="CH76" i="1"/>
  <c r="CM89" i="1"/>
  <c r="CM55" i="1"/>
  <c r="CI89" i="1"/>
  <c r="CN55" i="1"/>
  <c r="CG68" i="1"/>
  <c r="CJ59" i="1"/>
  <c r="CF76" i="1"/>
  <c r="CF81" i="1"/>
  <c r="CH56" i="1"/>
  <c r="CF68" i="1"/>
  <c r="CK81" i="1"/>
  <c r="CM59" i="1"/>
  <c r="CF59" i="1"/>
  <c r="CK72" i="1"/>
  <c r="CG89" i="1"/>
  <c r="CL63" i="1"/>
  <c r="CG59" i="1"/>
  <c r="CL72" i="1"/>
  <c r="CH89" i="1"/>
  <c r="CF89" i="1"/>
  <c r="CK63" i="1"/>
  <c r="CG81" i="1"/>
  <c r="CH68" i="1"/>
  <c r="CM85" i="1"/>
  <c r="CF72" i="1"/>
  <c r="CH59" i="1"/>
  <c r="CK85" i="1"/>
  <c r="CM63" i="1"/>
  <c r="CN63" i="1"/>
  <c r="CH63" i="1"/>
  <c r="CN85" i="1"/>
  <c r="CK89" i="1"/>
  <c r="CM76" i="1"/>
  <c r="CJ63" i="1"/>
  <c r="CH81" i="1"/>
  <c r="CI63" i="1"/>
  <c r="CN76" i="1"/>
  <c r="CJ89" i="1"/>
  <c r="CI68" i="1"/>
  <c r="CN81" i="1"/>
  <c r="CH57" i="1"/>
  <c r="CJ55" i="1"/>
  <c r="CN68" i="1"/>
  <c r="CJ85" i="1"/>
  <c r="CJ72" i="1"/>
  <c r="CN59" i="1"/>
  <c r="CJ76" i="1"/>
  <c r="CN72" i="1"/>
  <c r="CF63" i="1"/>
  <c r="CK76" i="1"/>
  <c r="CF55" i="1"/>
  <c r="CJ68" i="1"/>
  <c r="CF85" i="1"/>
  <c r="BJ57" i="1"/>
  <c r="BW57" i="1" s="1"/>
  <c r="BJ56" i="1"/>
  <c r="BW56" i="1" s="1"/>
  <c r="BG83" i="1"/>
  <c r="BT83" i="1" s="1"/>
  <c r="BG82" i="1"/>
  <c r="BT82" i="1" s="1"/>
  <c r="BK57" i="1"/>
  <c r="BX57" i="1" s="1"/>
  <c r="BK56" i="1"/>
  <c r="BX56" i="1" s="1"/>
  <c r="BH65" i="1"/>
  <c r="BU65" i="1" s="1"/>
  <c r="BH64" i="1"/>
  <c r="BU64" i="1" s="1"/>
  <c r="BF74" i="1"/>
  <c r="BS74" i="1" s="1"/>
  <c r="BF73" i="1"/>
  <c r="BS73" i="1" s="1"/>
  <c r="BM78" i="1"/>
  <c r="BZ78" i="1" s="1"/>
  <c r="BM77" i="1"/>
  <c r="BZ77" i="1" s="1"/>
  <c r="BK87" i="1"/>
  <c r="BX87" i="1" s="1"/>
  <c r="BK86" i="1"/>
  <c r="BX86" i="1" s="1"/>
  <c r="BJ70" i="1"/>
  <c r="BW70" i="1" s="1"/>
  <c r="BJ69" i="1"/>
  <c r="BW69" i="1" s="1"/>
  <c r="BI91" i="1"/>
  <c r="BV91" i="1" s="1"/>
  <c r="BI90" i="1"/>
  <c r="BV90" i="1" s="1"/>
  <c r="BJ61" i="1"/>
  <c r="BW61" i="1" s="1"/>
  <c r="BJ60" i="1"/>
  <c r="BW60" i="1" s="1"/>
  <c r="BH70" i="1"/>
  <c r="BU70" i="1" s="1"/>
  <c r="BH69" i="1"/>
  <c r="BU69" i="1" s="1"/>
  <c r="BF78" i="1"/>
  <c r="BS78" i="1" s="1"/>
  <c r="BF77" i="1"/>
  <c r="BS77" i="1" s="1"/>
  <c r="BM83" i="1"/>
  <c r="BZ83" i="1" s="1"/>
  <c r="BM82" i="1"/>
  <c r="BZ82" i="1" s="1"/>
  <c r="BK91" i="1"/>
  <c r="BX91" i="1" s="1"/>
  <c r="BK90" i="1"/>
  <c r="BX90" i="1" s="1"/>
  <c r="BE74" i="1"/>
  <c r="BR74" i="1" s="1"/>
  <c r="BE73" i="1"/>
  <c r="BR73" i="1" s="1"/>
  <c r="BG61" i="1"/>
  <c r="BT61" i="1" s="1"/>
  <c r="BG60" i="1"/>
  <c r="BT60" i="1" s="1"/>
  <c r="BE70" i="1"/>
  <c r="BR70" i="1" s="1"/>
  <c r="BE69" i="1"/>
  <c r="BR69" i="1" s="1"/>
  <c r="BL74" i="1"/>
  <c r="BY74" i="1" s="1"/>
  <c r="BL73" i="1"/>
  <c r="BY73" i="1" s="1"/>
  <c r="BJ83" i="1"/>
  <c r="BW83" i="1" s="1"/>
  <c r="BJ82" i="1"/>
  <c r="BW82" i="1" s="1"/>
  <c r="BH91" i="1"/>
  <c r="BU91" i="1" s="1"/>
  <c r="BH90" i="1"/>
  <c r="BU90" i="1" s="1"/>
  <c r="BL61" i="1"/>
  <c r="BY61" i="1" s="1"/>
  <c r="BL60" i="1"/>
  <c r="BY60" i="1" s="1"/>
  <c r="BJ87" i="1"/>
  <c r="BW87" i="1" s="1"/>
  <c r="BJ86" i="1"/>
  <c r="BW86" i="1" s="1"/>
  <c r="BE61" i="1"/>
  <c r="BR61" i="1" s="1"/>
  <c r="BE60" i="1"/>
  <c r="BR60" i="1" s="1"/>
  <c r="BL65" i="1"/>
  <c r="BY65" i="1" s="1"/>
  <c r="BL64" i="1"/>
  <c r="BY64" i="1" s="1"/>
  <c r="BJ74" i="1"/>
  <c r="BW74" i="1" s="1"/>
  <c r="BJ73" i="1"/>
  <c r="BW73" i="1" s="1"/>
  <c r="BH83" i="1"/>
  <c r="BU83" i="1" s="1"/>
  <c r="BH82" i="1"/>
  <c r="BU82" i="1" s="1"/>
  <c r="BF91" i="1"/>
  <c r="BS91" i="1" s="1"/>
  <c r="BF90" i="1"/>
  <c r="BS90" i="1" s="1"/>
  <c r="BF57" i="1"/>
  <c r="BS57" i="1" s="1"/>
  <c r="BF56" i="1"/>
  <c r="BS56" i="1" s="1"/>
  <c r="BM74" i="1"/>
  <c r="BZ74" i="1" s="1"/>
  <c r="BM73" i="1"/>
  <c r="BZ73" i="1" s="1"/>
  <c r="BH57" i="1"/>
  <c r="BU57" i="1" s="1"/>
  <c r="BH56" i="1"/>
  <c r="BU56" i="1" s="1"/>
  <c r="BE65" i="1"/>
  <c r="BR65" i="1" s="1"/>
  <c r="BE64" i="1"/>
  <c r="BR64" i="1" s="1"/>
  <c r="BL70" i="1"/>
  <c r="BY70" i="1" s="1"/>
  <c r="BL69" i="1"/>
  <c r="BY69" i="1" s="1"/>
  <c r="BJ78" i="1"/>
  <c r="BW78" i="1" s="1"/>
  <c r="BJ77" i="1"/>
  <c r="BW77" i="1" s="1"/>
  <c r="BH87" i="1"/>
  <c r="BU87" i="1" s="1"/>
  <c r="BH86" i="1"/>
  <c r="BU86" i="1" s="1"/>
  <c r="BH78" i="1"/>
  <c r="BU78" i="1" s="1"/>
  <c r="BH77" i="1"/>
  <c r="BU77" i="1" s="1"/>
  <c r="BE57" i="1"/>
  <c r="BR57" i="1" s="1"/>
  <c r="BE56" i="1"/>
  <c r="BR56" i="1" s="1"/>
  <c r="BK61" i="1"/>
  <c r="BX61" i="1" s="1"/>
  <c r="BK60" i="1"/>
  <c r="BX60" i="1" s="1"/>
  <c r="BI70" i="1"/>
  <c r="BV70" i="1" s="1"/>
  <c r="BI69" i="1"/>
  <c r="BV69" i="1" s="1"/>
  <c r="BG78" i="1"/>
  <c r="BT78" i="1" s="1"/>
  <c r="BG77" i="1"/>
  <c r="BT77" i="1" s="1"/>
  <c r="BE87" i="1"/>
  <c r="BR87" i="1" s="1"/>
  <c r="BE86" i="1"/>
  <c r="BR86" i="1" s="1"/>
  <c r="BL91" i="1"/>
  <c r="BY91" i="1" s="1"/>
  <c r="BL90" i="1"/>
  <c r="BY90" i="1" s="1"/>
  <c r="BF70" i="1"/>
  <c r="BS70" i="1" s="1"/>
  <c r="BF69" i="1"/>
  <c r="BS69" i="1" s="1"/>
  <c r="BM91" i="1"/>
  <c r="BZ91" i="1" s="1"/>
  <c r="BM90" i="1"/>
  <c r="BZ90" i="1" s="1"/>
  <c r="BI61" i="1"/>
  <c r="BV61" i="1" s="1"/>
  <c r="BI60" i="1"/>
  <c r="BV60" i="1" s="1"/>
  <c r="BG70" i="1"/>
  <c r="BT70" i="1" s="1"/>
  <c r="BG69" i="1"/>
  <c r="BT69" i="1" s="1"/>
  <c r="BE78" i="1"/>
  <c r="BR78" i="1" s="1"/>
  <c r="BE77" i="1"/>
  <c r="BR77" i="1" s="1"/>
  <c r="BL83" i="1"/>
  <c r="BY83" i="1" s="1"/>
  <c r="BL82" i="1"/>
  <c r="BY82" i="1" s="1"/>
  <c r="BJ91" i="1"/>
  <c r="BW91" i="1" s="1"/>
  <c r="BJ90" i="1"/>
  <c r="BW90" i="1" s="1"/>
  <c r="BH61" i="1"/>
  <c r="BU61" i="1" s="1"/>
  <c r="BH60" i="1"/>
  <c r="BU60" i="1" s="1"/>
  <c r="BL78" i="1"/>
  <c r="BY78" i="1" s="1"/>
  <c r="BL77" i="1"/>
  <c r="BY77" i="1" s="1"/>
  <c r="BL57" i="1"/>
  <c r="BY57" i="1" s="1"/>
  <c r="BL56" i="1"/>
  <c r="BY56" i="1" s="1"/>
  <c r="BI65" i="1"/>
  <c r="BV65" i="1" s="1"/>
  <c r="BI64" i="1"/>
  <c r="BV64" i="1" s="1"/>
  <c r="BG74" i="1"/>
  <c r="BT74" i="1" s="1"/>
  <c r="BG73" i="1"/>
  <c r="BT73" i="1" s="1"/>
  <c r="BE83" i="1"/>
  <c r="BR83" i="1" s="1"/>
  <c r="BE82" i="1"/>
  <c r="BR82" i="1" s="1"/>
  <c r="BL87" i="1"/>
  <c r="BY87" i="1" s="1"/>
  <c r="BL86" i="1"/>
  <c r="BY86" i="1" s="1"/>
  <c r="BK83" i="1"/>
  <c r="BX83" i="1" s="1"/>
  <c r="BK82" i="1"/>
  <c r="BX82" i="1" s="1"/>
  <c r="BI57" i="1"/>
  <c r="BV57" i="1" s="1"/>
  <c r="BI56" i="1"/>
  <c r="BV56" i="1" s="1"/>
  <c r="BF65" i="1"/>
  <c r="BS65" i="1" s="1"/>
  <c r="BF64" i="1"/>
  <c r="BS64" i="1" s="1"/>
  <c r="BM70" i="1"/>
  <c r="BZ70" i="1" s="1"/>
  <c r="BM69" i="1"/>
  <c r="BZ69" i="1" s="1"/>
  <c r="BK78" i="1"/>
  <c r="BX78" i="1" s="1"/>
  <c r="BK77" i="1"/>
  <c r="BX77" i="1" s="1"/>
  <c r="BI87" i="1"/>
  <c r="BV87" i="1" s="1"/>
  <c r="BI86" i="1"/>
  <c r="BV86" i="1" s="1"/>
  <c r="BI74" i="1"/>
  <c r="BV74" i="1" s="1"/>
  <c r="BI73" i="1"/>
  <c r="BV73" i="1" s="1"/>
  <c r="BM61" i="1"/>
  <c r="BZ61" i="1" s="1"/>
  <c r="BM60" i="1"/>
  <c r="BZ60" i="1" s="1"/>
  <c r="BK70" i="1"/>
  <c r="BX70" i="1" s="1"/>
  <c r="BK69" i="1"/>
  <c r="BX69" i="1" s="1"/>
  <c r="BI78" i="1"/>
  <c r="BV78" i="1" s="1"/>
  <c r="BI77" i="1"/>
  <c r="BV77" i="1" s="1"/>
  <c r="BG87" i="1"/>
  <c r="BT87" i="1" s="1"/>
  <c r="BG86" i="1"/>
  <c r="BT86" i="1" s="1"/>
  <c r="BK65" i="1"/>
  <c r="BX65" i="1" s="1"/>
  <c r="BK64" i="1"/>
  <c r="BX64" i="1" s="1"/>
  <c r="BF87" i="1"/>
  <c r="BS87" i="1" s="1"/>
  <c r="BF86" i="1"/>
  <c r="BS86" i="1" s="1"/>
  <c r="BF61" i="1"/>
  <c r="BS61" i="1" s="1"/>
  <c r="BF60" i="1"/>
  <c r="BS60" i="1" s="1"/>
  <c r="BM65" i="1"/>
  <c r="BZ65" i="1" s="1"/>
  <c r="BM64" i="1"/>
  <c r="BZ64" i="1" s="1"/>
  <c r="BK74" i="1"/>
  <c r="BX74" i="1" s="1"/>
  <c r="BK73" i="1"/>
  <c r="BX73" i="1" s="1"/>
  <c r="BI83" i="1"/>
  <c r="BV83" i="1" s="1"/>
  <c r="BI82" i="1"/>
  <c r="BV82" i="1" s="1"/>
  <c r="BG91" i="1"/>
  <c r="BT91" i="1" s="1"/>
  <c r="BG90" i="1"/>
  <c r="BT90" i="1" s="1"/>
  <c r="BG65" i="1"/>
  <c r="BT65" i="1" s="1"/>
  <c r="BG64" i="1"/>
  <c r="BT64" i="1" s="1"/>
  <c r="BE91" i="1"/>
  <c r="BR91" i="1" s="1"/>
  <c r="BE90" i="1"/>
  <c r="BR90" i="1" s="1"/>
  <c r="BM57" i="1"/>
  <c r="BZ57" i="1" s="1"/>
  <c r="BM56" i="1"/>
  <c r="BZ56" i="1" s="1"/>
  <c r="BJ65" i="1"/>
  <c r="BW65" i="1" s="1"/>
  <c r="BJ64" i="1"/>
  <c r="BW64" i="1" s="1"/>
  <c r="BH74" i="1"/>
  <c r="BU74" i="1" s="1"/>
  <c r="BH73" i="1"/>
  <c r="BU73" i="1" s="1"/>
  <c r="BF83" i="1"/>
  <c r="BS83" i="1" s="1"/>
  <c r="BF82" i="1"/>
  <c r="BS82" i="1" s="1"/>
  <c r="BM87" i="1"/>
  <c r="BZ87" i="1" s="1"/>
  <c r="BM86" i="1"/>
  <c r="BZ86" i="1" s="1"/>
  <c r="BJ31" i="1"/>
  <c r="CK31" i="1" s="1"/>
  <c r="BJ30" i="1"/>
  <c r="CK30" i="1" s="1"/>
  <c r="CG37" i="1" l="1"/>
  <c r="CH29" i="1"/>
  <c r="CL33" i="1"/>
  <c r="CH33" i="1"/>
  <c r="CL37" i="1"/>
  <c r="CN33" i="1"/>
  <c r="CG33" i="1"/>
  <c r="CI29" i="1"/>
  <c r="CG29" i="1"/>
  <c r="CM102" i="1"/>
  <c r="CL29" i="1"/>
  <c r="CJ29" i="1"/>
  <c r="CN29" i="1"/>
  <c r="CL94" i="1"/>
  <c r="CK94" i="1"/>
  <c r="CM33" i="1"/>
  <c r="CI37" i="1"/>
  <c r="CF37" i="1"/>
  <c r="CI33" i="1"/>
  <c r="CN98" i="1"/>
  <c r="CJ33" i="1"/>
  <c r="CM29" i="1"/>
  <c r="BI39" i="1"/>
  <c r="BV39" i="1" s="1"/>
  <c r="BM31" i="1"/>
  <c r="CN31" i="1" s="1"/>
  <c r="BJ39" i="1"/>
  <c r="BW39" i="1" s="1"/>
  <c r="BG35" i="1"/>
  <c r="CH35" i="1" s="1"/>
  <c r="BL31" i="1"/>
  <c r="BY31" i="1" s="1"/>
  <c r="BM39" i="1"/>
  <c r="BZ39" i="1" s="1"/>
  <c r="BF35" i="1"/>
  <c r="BS35" i="1" s="1"/>
  <c r="BF39" i="1"/>
  <c r="CG39" i="1" s="1"/>
  <c r="BH39" i="1"/>
  <c r="BU39" i="1" s="1"/>
  <c r="BK31" i="1"/>
  <c r="BX31" i="1" s="1"/>
  <c r="BH30" i="1"/>
  <c r="BU30" i="1" s="1"/>
  <c r="BI38" i="1"/>
  <c r="CJ38" i="1" s="1"/>
  <c r="BK38" i="1"/>
  <c r="BX38" i="1" s="1"/>
  <c r="BK30" i="1"/>
  <c r="BX30" i="1" s="1"/>
  <c r="BM30" i="1"/>
  <c r="BZ30" i="1" s="1"/>
  <c r="BM34" i="1"/>
  <c r="CN34" i="1" s="1"/>
  <c r="BM35" i="1"/>
  <c r="BZ35" i="1" s="1"/>
  <c r="BF30" i="1"/>
  <c r="BS30" i="1" s="1"/>
  <c r="BG38" i="1"/>
  <c r="BT38" i="1" s="1"/>
  <c r="BG30" i="1"/>
  <c r="CH30" i="1" s="1"/>
  <c r="BI30" i="1"/>
  <c r="BV30" i="1" s="1"/>
  <c r="BI34" i="1"/>
  <c r="BV34" i="1" s="1"/>
  <c r="BL38" i="1"/>
  <c r="BY38" i="1" s="1"/>
  <c r="BE30" i="1"/>
  <c r="CF30" i="1" s="1"/>
  <c r="CM37" i="1"/>
  <c r="CN37" i="1"/>
  <c r="BV37" i="1"/>
  <c r="BW33" i="1"/>
  <c r="BT37" i="1"/>
  <c r="BR33" i="1"/>
  <c r="BR29" i="1"/>
  <c r="BW37" i="1"/>
  <c r="BH31" i="1"/>
  <c r="BU31" i="1" s="1"/>
  <c r="BG39" i="1"/>
  <c r="BT39" i="1" s="1"/>
  <c r="BI31" i="1"/>
  <c r="BV31" i="1" s="1"/>
  <c r="BE31" i="1"/>
  <c r="CF31" i="1" s="1"/>
  <c r="BF31" i="1"/>
  <c r="BS31" i="1" s="1"/>
  <c r="BI35" i="1"/>
  <c r="BV35" i="1" s="1"/>
  <c r="BL34" i="1"/>
  <c r="BY34" i="1" s="1"/>
  <c r="BE34" i="1"/>
  <c r="CF34" i="1" s="1"/>
  <c r="BE38" i="1"/>
  <c r="BR38" i="1" s="1"/>
  <c r="BK34" i="1"/>
  <c r="BX34" i="1" s="1"/>
  <c r="BH34" i="1"/>
  <c r="CI34" i="1" s="1"/>
  <c r="BJ34" i="1"/>
  <c r="BW34" i="1" s="1"/>
  <c r="BG31" i="1"/>
  <c r="BT31" i="1" s="1"/>
  <c r="BL39" i="1"/>
  <c r="BY39" i="1" s="1"/>
  <c r="BL35" i="1"/>
  <c r="CM35" i="1" s="1"/>
  <c r="BE35" i="1"/>
  <c r="BR35" i="1" s="1"/>
  <c r="BE39" i="1"/>
  <c r="BR39" i="1" s="1"/>
  <c r="BW31" i="1"/>
  <c r="BK35" i="1"/>
  <c r="CL35" i="1" s="1"/>
  <c r="BH35" i="1"/>
  <c r="BU35" i="1" s="1"/>
  <c r="BJ35" i="1"/>
  <c r="BW35" i="1" s="1"/>
  <c r="BK39" i="1"/>
  <c r="BX39" i="1" s="1"/>
  <c r="BJ38" i="1"/>
  <c r="BW38" i="1" s="1"/>
  <c r="BG34" i="1"/>
  <c r="BT34" i="1" s="1"/>
  <c r="BL30" i="1"/>
  <c r="BY30" i="1" s="1"/>
  <c r="BM38" i="1"/>
  <c r="BZ38" i="1" s="1"/>
  <c r="BF34" i="1"/>
  <c r="CG34" i="1" s="1"/>
  <c r="BF38" i="1"/>
  <c r="BS38" i="1" s="1"/>
  <c r="BH38" i="1"/>
  <c r="BU38" i="1" s="1"/>
  <c r="CK98" i="1"/>
  <c r="CN102" i="1"/>
  <c r="CF94" i="1"/>
  <c r="CK102" i="1"/>
  <c r="CI102" i="1"/>
  <c r="CH98" i="1"/>
  <c r="CF102" i="1"/>
  <c r="CL102" i="1"/>
  <c r="CI98" i="1"/>
  <c r="BX98" i="1"/>
  <c r="CH50" i="1"/>
  <c r="CG98" i="1"/>
  <c r="BR98" i="1"/>
  <c r="BS102" i="1"/>
  <c r="BY98" i="1"/>
  <c r="BU104" i="1"/>
  <c r="CI100" i="1"/>
  <c r="BX95" i="1"/>
  <c r="BR103" i="1"/>
  <c r="BZ99" i="1"/>
  <c r="CM95" i="1"/>
  <c r="BZ95" i="1"/>
  <c r="CG94" i="1"/>
  <c r="BZ94" i="1"/>
  <c r="BT94" i="1"/>
  <c r="BU94" i="1"/>
  <c r="BZ104" i="1"/>
  <c r="BR99" i="1"/>
  <c r="BX103" i="1"/>
  <c r="CG100" i="1"/>
  <c r="BX96" i="1"/>
  <c r="BR104" i="1"/>
  <c r="BZ100" i="1"/>
  <c r="CM96" i="1"/>
  <c r="CN96" i="1"/>
  <c r="BR96" i="1"/>
  <c r="BU96" i="1"/>
  <c r="BY99" i="1"/>
  <c r="CH99" i="1"/>
  <c r="BT95" i="1"/>
  <c r="BW99" i="1"/>
  <c r="CG103" i="1"/>
  <c r="CG95" i="1"/>
  <c r="BT103" i="1"/>
  <c r="BW103" i="1"/>
  <c r="BT102" i="1"/>
  <c r="BY104" i="1"/>
  <c r="BS99" i="1"/>
  <c r="BW96" i="1"/>
  <c r="BY100" i="1"/>
  <c r="BT100" i="1"/>
  <c r="CH96" i="1"/>
  <c r="BW100" i="1"/>
  <c r="BS104" i="1"/>
  <c r="BS96" i="1"/>
  <c r="BT104" i="1"/>
  <c r="BW104" i="1"/>
  <c r="BX100" i="1"/>
  <c r="BU95" i="1"/>
  <c r="CF100" i="1"/>
  <c r="BX104" i="1"/>
  <c r="BY103" i="1"/>
  <c r="BR95" i="1"/>
  <c r="BU103" i="1"/>
  <c r="BX99" i="1"/>
  <c r="BU99" i="1"/>
  <c r="BZ103" i="1"/>
  <c r="CJ50" i="1"/>
  <c r="CK50" i="1"/>
  <c r="CJ46" i="1"/>
  <c r="CM50" i="1"/>
  <c r="CK46" i="1"/>
  <c r="CL50" i="1"/>
  <c r="CL42" i="1"/>
  <c r="CH42" i="1"/>
  <c r="CF42" i="1"/>
  <c r="CG42" i="1"/>
  <c r="CG50" i="1"/>
  <c r="CM46" i="1"/>
  <c r="CF46" i="1"/>
  <c r="CM43" i="1"/>
  <c r="CI46" i="1"/>
  <c r="BI51" i="1"/>
  <c r="BV51" i="1" s="1"/>
  <c r="BF52" i="1"/>
  <c r="BS52" i="1" s="1"/>
  <c r="BU44" i="1"/>
  <c r="BM48" i="1"/>
  <c r="CN48" i="1" s="1"/>
  <c r="BM44" i="1"/>
  <c r="BZ44" i="1" s="1"/>
  <c r="CH46" i="1"/>
  <c r="CL46" i="1"/>
  <c r="BF43" i="1"/>
  <c r="BS43" i="1" s="1"/>
  <c r="BF51" i="1"/>
  <c r="CG51" i="1" s="1"/>
  <c r="BU43" i="1"/>
  <c r="BI43" i="1"/>
  <c r="BV43" i="1" s="1"/>
  <c r="BL51" i="1"/>
  <c r="BY51" i="1" s="1"/>
  <c r="BG51" i="1"/>
  <c r="BT51" i="1" s="1"/>
  <c r="BK47" i="1"/>
  <c r="BX47" i="1" s="1"/>
  <c r="BK51" i="1"/>
  <c r="BX51" i="1" s="1"/>
  <c r="BJ47" i="1"/>
  <c r="BW47" i="1" s="1"/>
  <c r="BG43" i="1"/>
  <c r="BT43" i="1" s="1"/>
  <c r="CN42" i="1"/>
  <c r="BW42" i="1"/>
  <c r="BZ46" i="1"/>
  <c r="BG52" i="1"/>
  <c r="BT52" i="1" s="1"/>
  <c r="BK48" i="1"/>
  <c r="BX48" i="1" s="1"/>
  <c r="BK52" i="1"/>
  <c r="BX52" i="1" s="1"/>
  <c r="BJ48" i="1"/>
  <c r="BW48" i="1" s="1"/>
  <c r="BG44" i="1"/>
  <c r="BT44" i="1" s="1"/>
  <c r="BI44" i="1"/>
  <c r="BV44" i="1" s="1"/>
  <c r="BL52" i="1"/>
  <c r="BY52" i="1" s="1"/>
  <c r="BE43" i="1"/>
  <c r="CF43" i="1" s="1"/>
  <c r="BH51" i="1"/>
  <c r="BU51" i="1" s="1"/>
  <c r="BJ43" i="1"/>
  <c r="BW43" i="1" s="1"/>
  <c r="BM51" i="1"/>
  <c r="BZ51" i="1" s="1"/>
  <c r="BL47" i="1"/>
  <c r="BY47" i="1" s="1"/>
  <c r="BI47" i="1"/>
  <c r="BV47" i="1" s="1"/>
  <c r="BS46" i="1"/>
  <c r="BE47" i="1"/>
  <c r="BR47" i="1" s="1"/>
  <c r="BG47" i="1"/>
  <c r="BT47" i="1" s="1"/>
  <c r="BE48" i="1"/>
  <c r="BR48" i="1" s="1"/>
  <c r="BE44" i="1"/>
  <c r="BR44" i="1" s="1"/>
  <c r="BH52" i="1"/>
  <c r="BU52" i="1" s="1"/>
  <c r="BJ44" i="1"/>
  <c r="BW44" i="1" s="1"/>
  <c r="BG48" i="1"/>
  <c r="BT48" i="1" s="1"/>
  <c r="BM52" i="1"/>
  <c r="BZ52" i="1" s="1"/>
  <c r="BL48" i="1"/>
  <c r="CM48" i="1" s="1"/>
  <c r="BI48" i="1"/>
  <c r="BV48" i="1" s="1"/>
  <c r="CI50" i="1"/>
  <c r="BZ50" i="1"/>
  <c r="BR50" i="1"/>
  <c r="BJ51" i="1"/>
  <c r="BW51" i="1" s="1"/>
  <c r="CI47" i="1"/>
  <c r="BF47" i="1"/>
  <c r="BS47" i="1" s="1"/>
  <c r="CM44" i="1"/>
  <c r="BV42" i="1"/>
  <c r="BE51" i="1"/>
  <c r="BR51" i="1" s="1"/>
  <c r="BK43" i="1"/>
  <c r="BX43" i="1" s="1"/>
  <c r="BI52" i="1"/>
  <c r="CJ52" i="1" s="1"/>
  <c r="BE52" i="1"/>
  <c r="BR52" i="1" s="1"/>
  <c r="BF44" i="1"/>
  <c r="CG44" i="1" s="1"/>
  <c r="BK44" i="1"/>
  <c r="BX44" i="1" s="1"/>
  <c r="BJ52" i="1"/>
  <c r="BW52" i="1" s="1"/>
  <c r="BU48" i="1"/>
  <c r="BF48" i="1"/>
  <c r="BS48" i="1" s="1"/>
  <c r="BM47" i="1"/>
  <c r="BZ47" i="1" s="1"/>
  <c r="BM43" i="1"/>
  <c r="CN43" i="1" s="1"/>
  <c r="BV95" i="1"/>
  <c r="CJ95" i="1"/>
  <c r="BW95" i="1"/>
  <c r="CK95" i="1"/>
  <c r="CN87" i="1"/>
  <c r="CN65" i="1"/>
  <c r="CG65" i="1"/>
  <c r="CJ61" i="1"/>
  <c r="CG70" i="1"/>
  <c r="CJ70" i="1"/>
  <c r="CK78" i="1"/>
  <c r="CG91" i="1"/>
  <c r="CF61" i="1"/>
  <c r="CK83" i="1"/>
  <c r="CL91" i="1"/>
  <c r="CL87" i="1"/>
  <c r="CL95" i="1"/>
  <c r="CG82" i="1"/>
  <c r="CK64" i="1"/>
  <c r="CF90" i="1"/>
  <c r="CH90" i="1"/>
  <c r="CL73" i="1"/>
  <c r="CG60" i="1"/>
  <c r="CL64" i="1"/>
  <c r="CJ77" i="1"/>
  <c r="CN60" i="1"/>
  <c r="CJ73" i="1"/>
  <c r="CJ86" i="1"/>
  <c r="CN69" i="1"/>
  <c r="CJ56" i="1"/>
  <c r="CM86" i="1"/>
  <c r="CH73" i="1"/>
  <c r="CM56" i="1"/>
  <c r="CI60" i="1"/>
  <c r="CM82" i="1"/>
  <c r="CH69" i="1"/>
  <c r="CN90" i="1"/>
  <c r="CM90" i="1"/>
  <c r="CH77" i="1"/>
  <c r="CL60" i="1"/>
  <c r="CI77" i="1"/>
  <c r="CI86" i="1"/>
  <c r="CM69" i="1"/>
  <c r="CI56" i="1"/>
  <c r="CG56" i="1"/>
  <c r="CI82" i="1"/>
  <c r="CM64" i="1"/>
  <c r="CK86" i="1"/>
  <c r="CI90" i="1"/>
  <c r="CM73" i="1"/>
  <c r="CH60" i="1"/>
  <c r="CF73" i="1"/>
  <c r="CN82" i="1"/>
  <c r="CI69" i="1"/>
  <c r="CJ90" i="1"/>
  <c r="CN77" i="1"/>
  <c r="CI64" i="1"/>
  <c r="CH82" i="1"/>
  <c r="CI74" i="1"/>
  <c r="CH65" i="1"/>
  <c r="CG87" i="1"/>
  <c r="CL70" i="1"/>
  <c r="CF83" i="1"/>
  <c r="CM78" i="1"/>
  <c r="CF78" i="1"/>
  <c r="CN74" i="1"/>
  <c r="CK74" i="1"/>
  <c r="CG78" i="1"/>
  <c r="CL57" i="1"/>
  <c r="CG83" i="1"/>
  <c r="CK65" i="1"/>
  <c r="CF91" i="1"/>
  <c r="CH91" i="1"/>
  <c r="CL74" i="1"/>
  <c r="CG61" i="1"/>
  <c r="CL65" i="1"/>
  <c r="CJ78" i="1"/>
  <c r="CN61" i="1"/>
  <c r="CJ74" i="1"/>
  <c r="CJ87" i="1"/>
  <c r="CN70" i="1"/>
  <c r="CJ57" i="1"/>
  <c r="CM87" i="1"/>
  <c r="CH74" i="1"/>
  <c r="CM57" i="1"/>
  <c r="CI61" i="1"/>
  <c r="CM83" i="1"/>
  <c r="CH70" i="1"/>
  <c r="CN91" i="1"/>
  <c r="CM91" i="1"/>
  <c r="CH78" i="1"/>
  <c r="CL61" i="1"/>
  <c r="CI78" i="1"/>
  <c r="CI87" i="1"/>
  <c r="CM70" i="1"/>
  <c r="CI57" i="1"/>
  <c r="CG57" i="1"/>
  <c r="CI83" i="1"/>
  <c r="CM65" i="1"/>
  <c r="CK87" i="1"/>
  <c r="CI91" i="1"/>
  <c r="CM74" i="1"/>
  <c r="CH61" i="1"/>
  <c r="CF74" i="1"/>
  <c r="CN83" i="1"/>
  <c r="CI70" i="1"/>
  <c r="CJ91" i="1"/>
  <c r="CN78" i="1"/>
  <c r="CI65" i="1"/>
  <c r="CH83" i="1"/>
  <c r="CN57" i="1"/>
  <c r="CJ83" i="1"/>
  <c r="CH87" i="1"/>
  <c r="CL78" i="1"/>
  <c r="CL83" i="1"/>
  <c r="CJ65" i="1"/>
  <c r="CK91" i="1"/>
  <c r="CF87" i="1"/>
  <c r="CF57" i="1"/>
  <c r="CF65" i="1"/>
  <c r="CM61" i="1"/>
  <c r="CF70" i="1"/>
  <c r="CK61" i="1"/>
  <c r="CK70" i="1"/>
  <c r="CG74" i="1"/>
  <c r="CK57" i="1"/>
  <c r="CN86" i="1"/>
  <c r="CI73" i="1"/>
  <c r="CN56" i="1"/>
  <c r="CH64" i="1"/>
  <c r="CJ82" i="1"/>
  <c r="CN64" i="1"/>
  <c r="CG86" i="1"/>
  <c r="CH86" i="1"/>
  <c r="CL69" i="1"/>
  <c r="CL77" i="1"/>
  <c r="CG64" i="1"/>
  <c r="CL82" i="1"/>
  <c r="CF82" i="1"/>
  <c r="CJ64" i="1"/>
  <c r="CM77" i="1"/>
  <c r="CK90" i="1"/>
  <c r="CF77" i="1"/>
  <c r="CJ60" i="1"/>
  <c r="CG69" i="1"/>
  <c r="CF86" i="1"/>
  <c r="CJ69" i="1"/>
  <c r="CF56" i="1"/>
  <c r="CK77" i="1"/>
  <c r="CF64" i="1"/>
  <c r="CN73" i="1"/>
  <c r="CG90" i="1"/>
  <c r="CK73" i="1"/>
  <c r="CF60" i="1"/>
  <c r="CM60" i="1"/>
  <c r="CK82" i="1"/>
  <c r="CF69" i="1"/>
  <c r="CL90" i="1"/>
  <c r="CG77" i="1"/>
  <c r="CK60" i="1"/>
  <c r="CK69" i="1"/>
  <c r="CL86" i="1"/>
  <c r="CG73" i="1"/>
  <c r="CL56" i="1"/>
  <c r="CK56" i="1"/>
  <c r="CK35" i="1" l="1"/>
  <c r="CM31" i="1"/>
  <c r="CJ30" i="1"/>
  <c r="CH39" i="1"/>
  <c r="CL38" i="1"/>
  <c r="CG35" i="1"/>
  <c r="CH34" i="1"/>
  <c r="CN30" i="1"/>
  <c r="CM34" i="1"/>
  <c r="CM30" i="1"/>
  <c r="CJ31" i="1"/>
  <c r="CJ34" i="1"/>
  <c r="CF39" i="1"/>
  <c r="CJ35" i="1"/>
  <c r="CH31" i="1"/>
  <c r="CK39" i="1"/>
  <c r="CH38" i="1"/>
  <c r="CI30" i="1"/>
  <c r="CL31" i="1"/>
  <c r="CJ39" i="1"/>
  <c r="CG30" i="1"/>
  <c r="CL34" i="1"/>
  <c r="CN38" i="1"/>
  <c r="CM39" i="1"/>
  <c r="CG38" i="1"/>
  <c r="CM99" i="1"/>
  <c r="CG31" i="1"/>
  <c r="CI38" i="1"/>
  <c r="CN39" i="1"/>
  <c r="CN95" i="1"/>
  <c r="CL30" i="1"/>
  <c r="CG104" i="1"/>
  <c r="CI31" i="1"/>
  <c r="CI39" i="1"/>
  <c r="CK34" i="1"/>
  <c r="CF38" i="1"/>
  <c r="CM104" i="1"/>
  <c r="CI35" i="1"/>
  <c r="BW30" i="1"/>
  <c r="BZ31" i="1"/>
  <c r="CN35" i="1"/>
  <c r="CF35" i="1"/>
  <c r="CM38" i="1"/>
  <c r="CL39" i="1"/>
  <c r="CK38" i="1"/>
  <c r="BS34" i="1"/>
  <c r="BX35" i="1"/>
  <c r="BY35" i="1"/>
  <c r="BU34" i="1"/>
  <c r="BR34" i="1"/>
  <c r="BR31" i="1"/>
  <c r="BR30" i="1"/>
  <c r="BT30" i="1"/>
  <c r="BZ34" i="1"/>
  <c r="BV38" i="1"/>
  <c r="BS39" i="1"/>
  <c r="BT35" i="1"/>
  <c r="CM100" i="1"/>
  <c r="CN103" i="1"/>
  <c r="CI99" i="1"/>
  <c r="CG96" i="1"/>
  <c r="CK99" i="1"/>
  <c r="CN104" i="1"/>
  <c r="CN99" i="1"/>
  <c r="CF103" i="1"/>
  <c r="CL104" i="1"/>
  <c r="CK100" i="1"/>
  <c r="CK103" i="1"/>
  <c r="CN100" i="1"/>
  <c r="CL103" i="1"/>
  <c r="CK104" i="1"/>
  <c r="CH95" i="1"/>
  <c r="CK96" i="1"/>
  <c r="CH103" i="1"/>
  <c r="CL99" i="1"/>
  <c r="CF51" i="1"/>
  <c r="CI96" i="1"/>
  <c r="CH100" i="1"/>
  <c r="CH48" i="1"/>
  <c r="CL100" i="1"/>
  <c r="CF104" i="1"/>
  <c r="CM103" i="1"/>
  <c r="CI95" i="1"/>
  <c r="CF95" i="1"/>
  <c r="CF99" i="1"/>
  <c r="CI104" i="1"/>
  <c r="CF96" i="1"/>
  <c r="CL96" i="1"/>
  <c r="BS95" i="1"/>
  <c r="BT99" i="1"/>
  <c r="BZ96" i="1"/>
  <c r="BY95" i="1"/>
  <c r="BU100" i="1"/>
  <c r="CG99" i="1"/>
  <c r="CH104" i="1"/>
  <c r="BS103" i="1"/>
  <c r="BY96" i="1"/>
  <c r="BS100" i="1"/>
  <c r="BR100" i="1"/>
  <c r="BT96" i="1"/>
  <c r="CI103" i="1"/>
  <c r="CG43" i="1"/>
  <c r="CJ47" i="1"/>
  <c r="CK51" i="1"/>
  <c r="CK44" i="1"/>
  <c r="CG52" i="1"/>
  <c r="CG47" i="1"/>
  <c r="CI43" i="1"/>
  <c r="CJ44" i="1"/>
  <c r="CL44" i="1"/>
  <c r="CJ43" i="1"/>
  <c r="CI48" i="1"/>
  <c r="CK43" i="1"/>
  <c r="CM52" i="1"/>
  <c r="CI44" i="1"/>
  <c r="CM47" i="1"/>
  <c r="CN51" i="1"/>
  <c r="CH52" i="1"/>
  <c r="CL47" i="1"/>
  <c r="CF48" i="1"/>
  <c r="CL52" i="1"/>
  <c r="CL43" i="1"/>
  <c r="CI52" i="1"/>
  <c r="CK47" i="1"/>
  <c r="CH43" i="1"/>
  <c r="CN47" i="1"/>
  <c r="BZ43" i="1"/>
  <c r="BR43" i="1"/>
  <c r="CL51" i="1"/>
  <c r="CL48" i="1"/>
  <c r="CF44" i="1"/>
  <c r="CJ48" i="1"/>
  <c r="CH47" i="1"/>
  <c r="CK48" i="1"/>
  <c r="CF52" i="1"/>
  <c r="CJ51" i="1"/>
  <c r="CH44" i="1"/>
  <c r="CH51" i="1"/>
  <c r="CN44" i="1"/>
  <c r="CI51" i="1"/>
  <c r="CK52" i="1"/>
  <c r="BU47" i="1"/>
  <c r="BV52" i="1"/>
  <c r="CM51" i="1"/>
  <c r="CN52" i="1"/>
  <c r="CF47" i="1"/>
  <c r="BY48" i="1"/>
  <c r="BS51" i="1"/>
  <c r="BZ48" i="1"/>
  <c r="CG48" i="1"/>
  <c r="BS44" i="1"/>
</calcChain>
</file>

<file path=xl/sharedStrings.xml><?xml version="1.0" encoding="utf-8"?>
<sst xmlns="http://schemas.openxmlformats.org/spreadsheetml/2006/main" count="559" uniqueCount="156">
  <si>
    <t>gr1</t>
  </si>
  <si>
    <t>gr2</t>
  </si>
  <si>
    <t>gr3</t>
  </si>
  <si>
    <t>gr4</t>
  </si>
  <si>
    <t>gr5</t>
  </si>
  <si>
    <t>gr6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</si>
  <si>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</si>
  <si>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</si>
  <si>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</si>
  <si>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</si>
  <si>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</si>
  <si>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</si>
  <si>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</si>
  <si>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</si>
  <si>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</si>
  <si>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initial pattern</t>
  </si>
  <si>
    <t>system shift</t>
  </si>
  <si>
    <t>initial summary</t>
  </si>
  <si>
    <t>nd</t>
  </si>
  <si>
    <t>low</t>
  </si>
  <si>
    <t>high</t>
  </si>
  <si>
    <t>8-15'</t>
  </si>
  <si>
    <t>15-20'</t>
  </si>
  <si>
    <t>15-21'</t>
  </si>
  <si>
    <t>17-18'</t>
  </si>
  <si>
    <t>16-18'</t>
  </si>
  <si>
    <t>5-8'</t>
  </si>
  <si>
    <t>18-20'</t>
  </si>
  <si>
    <t>17-20'</t>
  </si>
  <si>
    <t>marge</t>
  </si>
  <si>
    <t>std</t>
  </si>
  <si>
    <t>tech1</t>
  </si>
  <si>
    <t>tech2</t>
  </si>
  <si>
    <t>tech3</t>
  </si>
  <si>
    <t>tech4</t>
  </si>
  <si>
    <t>tech5</t>
  </si>
  <si>
    <t>tech6</t>
  </si>
  <si>
    <t>tech7</t>
  </si>
  <si>
    <t>tech8</t>
  </si>
  <si>
    <t>tech9</t>
  </si>
  <si>
    <t>tech10</t>
  </si>
  <si>
    <t>tech11</t>
  </si>
  <si>
    <t>tech12</t>
  </si>
  <si>
    <t>tech13</t>
  </si>
  <si>
    <t>tech14</t>
  </si>
  <si>
    <t>tech15</t>
  </si>
  <si>
    <t>tech16</t>
  </si>
  <si>
    <t>tech17</t>
  </si>
  <si>
    <t>tech18</t>
  </si>
  <si>
    <t>tech19</t>
  </si>
  <si>
    <t>tech20</t>
  </si>
  <si>
    <t>tech21</t>
  </si>
  <si>
    <t>tech22</t>
  </si>
  <si>
    <t>tech23</t>
  </si>
  <si>
    <t>tech24</t>
  </si>
  <si>
    <t>tech25</t>
  </si>
  <si>
    <t>tech26</t>
  </si>
  <si>
    <t>tech27</t>
  </si>
  <si>
    <t>tech28</t>
  </si>
  <si>
    <t>tech29</t>
  </si>
  <si>
    <t>tech30</t>
  </si>
  <si>
    <t>tech31</t>
  </si>
  <si>
    <t>tech32</t>
  </si>
  <si>
    <t>tech33</t>
  </si>
  <si>
    <t>tech34</t>
  </si>
  <si>
    <t>tech35</t>
  </si>
  <si>
    <t>tech36</t>
  </si>
  <si>
    <t>tech37</t>
  </si>
  <si>
    <t>tech38</t>
  </si>
  <si>
    <t>tech39</t>
  </si>
  <si>
    <t>tech40</t>
  </si>
  <si>
    <t>tech41</t>
  </si>
  <si>
    <t>tech42</t>
  </si>
  <si>
    <t>tech43</t>
  </si>
  <si>
    <t>tech44</t>
  </si>
  <si>
    <t>tech45</t>
  </si>
  <si>
    <t>tech46</t>
  </si>
  <si>
    <t>tech47</t>
  </si>
  <si>
    <t>tech48</t>
  </si>
  <si>
    <t>tech49</t>
  </si>
  <si>
    <t>tech50</t>
  </si>
  <si>
    <t>tech51</t>
  </si>
  <si>
    <t>tech52</t>
  </si>
  <si>
    <t>tech53</t>
  </si>
  <si>
    <t>tech54</t>
  </si>
  <si>
    <t>tech55</t>
  </si>
  <si>
    <t>tech56</t>
  </si>
  <si>
    <t>tech57</t>
  </si>
  <si>
    <t>tech58</t>
  </si>
  <si>
    <t>tech59</t>
  </si>
  <si>
    <t>tech60</t>
  </si>
  <si>
    <t>tech61</t>
  </si>
  <si>
    <t>tech62</t>
  </si>
  <si>
    <t>tech63</t>
  </si>
  <si>
    <t>tech64</t>
  </si>
  <si>
    <t>tech65</t>
  </si>
  <si>
    <t>tech66</t>
  </si>
  <si>
    <t>tech67</t>
  </si>
  <si>
    <t>tech68</t>
  </si>
  <si>
    <t>tech69</t>
  </si>
  <si>
    <t>tech70</t>
  </si>
  <si>
    <t>tech71</t>
  </si>
  <si>
    <t>tech72</t>
  </si>
  <si>
    <t>1bios1</t>
  </si>
  <si>
    <t>1bios2</t>
  </si>
  <si>
    <t>1bios3</t>
  </si>
  <si>
    <t>2bios1</t>
  </si>
  <si>
    <t>2bios2</t>
  </si>
  <si>
    <t>2bios3</t>
  </si>
  <si>
    <t>3bios1</t>
  </si>
  <si>
    <t>3bios2</t>
  </si>
  <si>
    <t>3bios3</t>
  </si>
  <si>
    <t>4bios1</t>
  </si>
  <si>
    <t>4bios2</t>
  </si>
  <si>
    <t>4bios3</t>
  </si>
  <si>
    <t>5bios1</t>
  </si>
  <si>
    <t>5bios2</t>
  </si>
  <si>
    <t>5bios3</t>
  </si>
  <si>
    <t>6bios1</t>
  </si>
  <si>
    <t>6bios2</t>
  </si>
  <si>
    <t>6bios3</t>
  </si>
  <si>
    <t>accuracy</t>
  </si>
  <si>
    <t>18-25'</t>
  </si>
  <si>
    <t>17-23'</t>
  </si>
  <si>
    <t>13-19'</t>
  </si>
  <si>
    <t>16-22'</t>
  </si>
  <si>
    <t>set shift</t>
  </si>
  <si>
    <t>instability for gene in group</t>
  </si>
  <si>
    <t>inconsistance in technical repeats</t>
  </si>
  <si>
    <t>data</t>
  </si>
  <si>
    <t>result</t>
  </si>
  <si>
    <t>REL, log2 scale</t>
  </si>
  <si>
    <t>gr1//1bios1</t>
  </si>
  <si>
    <t>gr1//1bios2</t>
  </si>
  <si>
    <t>gr1//1bios3</t>
  </si>
  <si>
    <t>gr2//2bios1</t>
  </si>
  <si>
    <t>gr2//2bios2</t>
  </si>
  <si>
    <t>gr2//2bios3</t>
  </si>
  <si>
    <t>gr3//3bios1</t>
  </si>
  <si>
    <t>gr3//3bios2</t>
  </si>
  <si>
    <t>gr3//3bios3</t>
  </si>
  <si>
    <t>gr4//4bios1</t>
  </si>
  <si>
    <t>gr4//4bios2</t>
  </si>
  <si>
    <t>gr4//4bios3</t>
  </si>
  <si>
    <t>gr5//5bios1</t>
  </si>
  <si>
    <t>gr5//5bios2</t>
  </si>
  <si>
    <t>gr5//5bios3</t>
  </si>
  <si>
    <t>gr6//6bios1</t>
  </si>
  <si>
    <t>gr6//6bios2</t>
  </si>
  <si>
    <t>gr6//6bios3</t>
  </si>
  <si>
    <t>uncertanties</t>
  </si>
  <si>
    <t>inputed pattern without corrections</t>
  </si>
  <si>
    <t>corrections</t>
  </si>
  <si>
    <t>&gt;0 to make difference</t>
  </si>
  <si>
    <t>deviations in times, log2 scale</t>
  </si>
  <si>
    <t>deviations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</si>
</sst>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i/>
      <sz val="18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i/>
      <sz val="10"/>
      <color indexed="0"/>
      <name val="Times New Roman"/>
      <family val="1"/>
      <charset val="204"/>
    </font>
    <font>
      <b/>
      <sz val="10"/>
      <color indexed="0"/>
      <name val="Times New Roman"/>
      <family val="1"/>
      <charset val="204"/>
    </font>
    <font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applyAlignment="1">
      <alignment horizontal="right"/>
    </xf>
    <xf numFmtId="0" fontId="0" fillId="2" borderId="0" xfId="0" applyFont="1" applyFill="1" applyAlignment="1">
      <alignment horizontal="right"/>
    </xf>
    <xf numFmtId="0" fontId="0" fillId="2" borderId="0" xfId="0" applyFont="1" applyFill="1"/>
    <xf numFmtId="0" fontId="0" fillId="2" borderId="0" xfId="0" applyFont="1" applyFill="1" applyAlignment="1">
      <alignment horizontal="center"/>
    </xf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Fill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0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0" borderId="0" xfId="0" quotePrefix="1"/>
    <xf numFmtId="0" fontId="0" fillId="2" borderId="0" xfId="0" applyFill="1"/>
    <xf numFmtId="0" fontId="1" fillId="2" borderId="0" xfId="0" applyFont="1" applyFill="1"/>
    <xf numFmtId="0" fontId="5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" fontId="0" fillId="2" borderId="0" xfId="0" applyNumberFormat="1" applyFill="1" applyAlignment="1">
      <alignment horizontal="center"/>
    </xf>
    <xf numFmtId="0" fontId="5" fillId="0" borderId="0" xfId="0" applyFont="1" applyAlignment="1">
      <alignment horizontal="right"/>
    </xf>
    <xf numFmtId="0" fontId="0" fillId="4" borderId="0" xfId="0" applyFill="1" applyBorder="1"/>
    <xf numFmtId="0" fontId="0" fillId="4" borderId="9" xfId="0" applyFill="1" applyBorder="1"/>
    <xf numFmtId="0" fontId="0" fillId="4" borderId="10" xfId="0" applyFill="1" applyBorder="1"/>
    <xf numFmtId="0" fontId="0" fillId="4" borderId="11" xfId="0" applyFill="1" applyBorder="1"/>
    <xf numFmtId="0" fontId="0" fillId="4" borderId="12" xfId="0" applyFill="1" applyBorder="1"/>
    <xf numFmtId="0" fontId="0" fillId="3" borderId="17" xfId="0" applyFill="1" applyBorder="1"/>
    <xf numFmtId="0" fontId="0" fillId="4" borderId="14" xfId="0" applyFill="1" applyBorder="1"/>
    <xf numFmtId="0" fontId="0" fillId="4" borderId="15" xfId="0" applyFill="1" applyBorder="1"/>
    <xf numFmtId="0" fontId="0" fillId="3" borderId="18" xfId="0" applyFill="1" applyBorder="1"/>
    <xf numFmtId="0" fontId="0" fillId="3" borderId="19" xfId="0" applyFill="1" applyBorder="1"/>
    <xf numFmtId="0" fontId="0" fillId="5" borderId="9" xfId="0" applyFill="1" applyBorder="1"/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0" xfId="0" applyFill="1" applyBorder="1"/>
    <xf numFmtId="0" fontId="0" fillId="5" borderId="14" xfId="0" applyFill="1" applyBorder="1"/>
    <xf numFmtId="0" fontId="0" fillId="5" borderId="15" xfId="0" applyFill="1" applyBorder="1"/>
    <xf numFmtId="164" fontId="0" fillId="2" borderId="0" xfId="0" applyNumberFormat="1" applyFill="1" applyAlignment="1">
      <alignment horizontal="center"/>
    </xf>
    <xf numFmtId="0" fontId="0" fillId="6" borderId="0" xfId="0" applyFill="1"/>
    <xf numFmtId="0" fontId="2" fillId="6" borderId="0" xfId="0" applyFont="1" applyFill="1" applyBorder="1" applyAlignment="1" applyProtection="1"/>
    <xf numFmtId="0" fontId="3" fillId="6" borderId="0" xfId="0" applyFont="1" applyFill="1" applyBorder="1" applyAlignment="1" applyProtection="1"/>
    <xf numFmtId="0" fontId="4" fillId="6" borderId="0" xfId="0" applyFont="1" applyFill="1" applyBorder="1" applyAlignment="1" applyProtection="1"/>
    <xf numFmtId="164" fontId="0" fillId="2" borderId="0" xfId="0" applyNumberFormat="1" applyFill="1" applyAlignment="1">
      <alignment horizontal="center" vertical="center"/>
    </xf>
  </cellXfs>
  <cellStyles count="1">
    <cellStyle name="Обычный" xfId="0" builtinId="0"/>
  </cellStyles>
  <dxfs count="66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6:CN162"/>
  <sheetViews>
    <sheetView tabSelected="1" topLeftCell="AN98" zoomScale="55" zoomScaleNormal="55" workbookViewId="0">
      <selection activeCell="BO110" sqref="BO110:BX161"/>
    </sheetView>
  </sheetViews>
  <sheetFormatPr defaultRowHeight="15" x14ac:dyDescent="0.25"/>
  <sheetData>
    <row r="6" spans="6:39" x14ac:dyDescent="0.25">
      <c r="F6" s="2" t="s">
        <v>15</v>
      </c>
      <c r="G6" t="s">
        <v>6</v>
      </c>
      <c r="H6" t="s">
        <v>7</v>
      </c>
      <c r="I6" t="s">
        <v>8</v>
      </c>
      <c r="J6" t="s">
        <v>9</v>
      </c>
      <c r="K6" t="s">
        <v>10</v>
      </c>
      <c r="L6" t="s">
        <v>11</v>
      </c>
      <c r="M6" t="s">
        <v>12</v>
      </c>
      <c r="N6" t="s">
        <v>13</v>
      </c>
      <c r="O6" t="s">
        <v>14</v>
      </c>
      <c r="S6" s="3" t="s">
        <v>126</v>
      </c>
      <c r="T6" s="4" t="s">
        <v>6</v>
      </c>
      <c r="U6" s="4" t="s">
        <v>7</v>
      </c>
      <c r="V6" s="4" t="s">
        <v>8</v>
      </c>
      <c r="W6" s="4" t="s">
        <v>9</v>
      </c>
      <c r="X6" s="4" t="s">
        <v>10</v>
      </c>
      <c r="Y6" s="4" t="s">
        <v>11</v>
      </c>
      <c r="Z6" s="4" t="s">
        <v>12</v>
      </c>
      <c r="AA6" s="4" t="s">
        <v>13</v>
      </c>
      <c r="AB6" s="4" t="s">
        <v>14</v>
      </c>
      <c r="AD6" s="3" t="s">
        <v>126</v>
      </c>
      <c r="AE6" s="5" t="s">
        <v>6</v>
      </c>
      <c r="AF6" s="5" t="s">
        <v>7</v>
      </c>
      <c r="AG6" s="5" t="s">
        <v>8</v>
      </c>
      <c r="AH6" s="5" t="s">
        <v>9</v>
      </c>
      <c r="AI6" s="5" t="s">
        <v>10</v>
      </c>
      <c r="AJ6" s="5" t="s">
        <v>11</v>
      </c>
      <c r="AK6" s="5" t="s">
        <v>12</v>
      </c>
      <c r="AL6" s="5" t="s">
        <v>13</v>
      </c>
      <c r="AM6" s="5" t="s">
        <v>14</v>
      </c>
    </row>
    <row r="7" spans="6:39" x14ac:dyDescent="0.25">
      <c r="F7" t="s">
        <v>0</v>
      </c>
      <c r="G7" s="1">
        <v>1</v>
      </c>
      <c r="H7" s="1">
        <v>5</v>
      </c>
      <c r="I7" s="1">
        <v>7</v>
      </c>
      <c r="J7" s="1">
        <v>3</v>
      </c>
      <c r="K7" s="1">
        <v>1</v>
      </c>
      <c r="L7" s="1">
        <v>2</v>
      </c>
      <c r="M7" s="1">
        <v>8</v>
      </c>
      <c r="N7" s="1">
        <v>2</v>
      </c>
      <c r="O7" s="1">
        <v>8</v>
      </c>
      <c r="Q7" s="1">
        <v>7</v>
      </c>
      <c r="S7" s="4" t="s">
        <v>0</v>
      </c>
      <c r="T7" s="5">
        <v>0</v>
      </c>
      <c r="U7" s="5">
        <v>0</v>
      </c>
      <c r="V7" s="5">
        <v>3</v>
      </c>
      <c r="W7" s="5">
        <v>3</v>
      </c>
      <c r="X7" s="5">
        <v>3</v>
      </c>
      <c r="Y7" s="5">
        <v>3</v>
      </c>
      <c r="Z7" s="5">
        <v>0</v>
      </c>
      <c r="AA7" s="5">
        <v>0</v>
      </c>
      <c r="AB7" s="5">
        <v>0</v>
      </c>
      <c r="AD7" s="4" t="s">
        <v>0</v>
      </c>
      <c r="AE7" s="5">
        <v>12</v>
      </c>
      <c r="AF7" s="5">
        <v>8</v>
      </c>
      <c r="AG7" s="5">
        <v>0</v>
      </c>
      <c r="AH7" s="5">
        <v>0</v>
      </c>
      <c r="AI7" s="5">
        <v>0</v>
      </c>
      <c r="AJ7" s="5">
        <v>0</v>
      </c>
      <c r="AK7" s="5">
        <v>0.26</v>
      </c>
      <c r="AL7" s="5">
        <v>0.2</v>
      </c>
      <c r="AM7" s="5">
        <v>-0.12</v>
      </c>
    </row>
    <row r="8" spans="6:39" x14ac:dyDescent="0.25">
      <c r="F8" t="s">
        <v>1</v>
      </c>
      <c r="G8" s="1">
        <v>1</v>
      </c>
      <c r="H8" s="1">
        <v>5</v>
      </c>
      <c r="I8" s="1">
        <v>7</v>
      </c>
      <c r="J8" s="1">
        <v>3</v>
      </c>
      <c r="K8" s="1">
        <v>1</v>
      </c>
      <c r="L8" s="1">
        <v>2</v>
      </c>
      <c r="M8" s="1">
        <v>8</v>
      </c>
      <c r="N8" s="1">
        <v>2</v>
      </c>
      <c r="O8" s="1">
        <v>8</v>
      </c>
      <c r="Q8" s="1">
        <v>4</v>
      </c>
      <c r="S8" s="4" t="s">
        <v>1</v>
      </c>
      <c r="T8" s="5">
        <v>0</v>
      </c>
      <c r="U8" s="5">
        <v>0</v>
      </c>
      <c r="V8" s="5">
        <v>5</v>
      </c>
      <c r="W8" s="5">
        <v>5</v>
      </c>
      <c r="X8" s="5">
        <v>5</v>
      </c>
      <c r="Y8" s="5">
        <v>5</v>
      </c>
      <c r="Z8" s="5">
        <v>0</v>
      </c>
      <c r="AA8" s="5">
        <v>0</v>
      </c>
      <c r="AB8" s="5">
        <v>0</v>
      </c>
      <c r="AD8" s="4" t="s">
        <v>1</v>
      </c>
      <c r="AE8" s="5">
        <v>10</v>
      </c>
      <c r="AF8" s="5">
        <v>2</v>
      </c>
      <c r="AG8" s="5">
        <v>0</v>
      </c>
      <c r="AH8" s="5">
        <v>0.19999999999999929</v>
      </c>
      <c r="AI8" s="5">
        <v>-0.20000000000000018</v>
      </c>
      <c r="AJ8" s="5">
        <v>0.23000000000000043</v>
      </c>
      <c r="AK8" s="5">
        <v>0</v>
      </c>
      <c r="AL8" s="5">
        <v>0.3</v>
      </c>
      <c r="AM8" s="5">
        <v>-5.0999999999999996</v>
      </c>
    </row>
    <row r="9" spans="6:39" x14ac:dyDescent="0.25">
      <c r="F9" t="s">
        <v>2</v>
      </c>
      <c r="G9" s="1">
        <v>1</v>
      </c>
      <c r="H9" s="1">
        <v>5</v>
      </c>
      <c r="I9" s="1">
        <v>7</v>
      </c>
      <c r="J9" s="1">
        <v>3</v>
      </c>
      <c r="K9" s="1">
        <v>1</v>
      </c>
      <c r="L9" s="1">
        <v>2</v>
      </c>
      <c r="M9" s="1">
        <v>8</v>
      </c>
      <c r="N9" s="1">
        <v>2</v>
      </c>
      <c r="O9" s="1">
        <v>8</v>
      </c>
      <c r="Q9" s="1">
        <v>11</v>
      </c>
      <c r="S9" s="4" t="s">
        <v>2</v>
      </c>
      <c r="T9" s="5">
        <v>0</v>
      </c>
      <c r="U9" s="5">
        <v>0</v>
      </c>
      <c r="V9" s="5">
        <v>2</v>
      </c>
      <c r="W9" s="5">
        <v>2</v>
      </c>
      <c r="X9" s="5">
        <v>2</v>
      </c>
      <c r="Y9" s="5">
        <v>2</v>
      </c>
      <c r="Z9" s="5">
        <v>0</v>
      </c>
      <c r="AA9" s="5">
        <v>0</v>
      </c>
      <c r="AB9" s="5">
        <v>0</v>
      </c>
      <c r="AD9" s="4" t="s">
        <v>2</v>
      </c>
      <c r="AE9" s="5">
        <v>1</v>
      </c>
      <c r="AF9" s="5">
        <v>9</v>
      </c>
      <c r="AG9" s="5">
        <v>0</v>
      </c>
      <c r="AH9" s="5">
        <v>0.25999999999999979</v>
      </c>
      <c r="AI9" s="5">
        <v>-0.30000000000000071</v>
      </c>
      <c r="AJ9" s="5">
        <v>-0.10000000000000009</v>
      </c>
      <c r="AK9" s="5">
        <v>3.9</v>
      </c>
      <c r="AL9" s="5">
        <v>0.23</v>
      </c>
      <c r="AM9" s="5">
        <v>-0.16</v>
      </c>
    </row>
    <row r="10" spans="6:39" x14ac:dyDescent="0.25">
      <c r="F10" t="s">
        <v>3</v>
      </c>
      <c r="G10" s="1">
        <v>1</v>
      </c>
      <c r="H10" s="1">
        <v>5</v>
      </c>
      <c r="I10" s="1">
        <v>7</v>
      </c>
      <c r="J10" s="1">
        <v>3</v>
      </c>
      <c r="K10" s="1">
        <v>1</v>
      </c>
      <c r="L10" s="1">
        <v>2</v>
      </c>
      <c r="M10" s="1">
        <v>8</v>
      </c>
      <c r="N10" s="1">
        <v>2</v>
      </c>
      <c r="O10" s="1">
        <v>8</v>
      </c>
      <c r="Q10" s="1">
        <v>2</v>
      </c>
      <c r="S10" s="4" t="s">
        <v>3</v>
      </c>
      <c r="T10" s="5">
        <v>0</v>
      </c>
      <c r="U10" s="5">
        <v>0</v>
      </c>
      <c r="V10" s="5">
        <v>8</v>
      </c>
      <c r="W10" s="5">
        <v>8</v>
      </c>
      <c r="X10" s="5">
        <v>8</v>
      </c>
      <c r="Y10" s="5">
        <v>8</v>
      </c>
      <c r="Z10" s="5">
        <v>0</v>
      </c>
      <c r="AA10" s="5">
        <v>0</v>
      </c>
      <c r="AB10" s="5">
        <v>0</v>
      </c>
      <c r="AD10" s="4" t="s">
        <v>3</v>
      </c>
      <c r="AE10" s="5">
        <v>4</v>
      </c>
      <c r="AF10" s="5">
        <v>12</v>
      </c>
      <c r="AG10" s="5">
        <v>0</v>
      </c>
      <c r="AH10" s="5">
        <v>-0.36000000000000032</v>
      </c>
      <c r="AI10" s="5">
        <v>-0.23000000000000043</v>
      </c>
      <c r="AJ10" s="5">
        <v>-1.9999999999999574E-2</v>
      </c>
      <c r="AK10" s="5">
        <v>0.01</v>
      </c>
      <c r="AL10" s="5">
        <v>9.08</v>
      </c>
      <c r="AM10" s="5">
        <v>0.25</v>
      </c>
    </row>
    <row r="11" spans="6:39" x14ac:dyDescent="0.25">
      <c r="F11" t="s">
        <v>4</v>
      </c>
      <c r="G11" s="1">
        <v>1</v>
      </c>
      <c r="H11" s="1">
        <v>5</v>
      </c>
      <c r="I11" s="1">
        <v>7</v>
      </c>
      <c r="J11" s="1">
        <v>3</v>
      </c>
      <c r="K11" s="1">
        <v>1</v>
      </c>
      <c r="L11" s="1">
        <v>2</v>
      </c>
      <c r="M11" s="1">
        <v>8</v>
      </c>
      <c r="N11" s="1">
        <v>2</v>
      </c>
      <c r="O11" s="1">
        <v>8</v>
      </c>
      <c r="Q11" s="1">
        <v>3</v>
      </c>
      <c r="S11" s="4" t="s">
        <v>4</v>
      </c>
      <c r="T11" s="5">
        <v>0</v>
      </c>
      <c r="U11" s="5">
        <v>0</v>
      </c>
      <c r="V11" s="5">
        <v>0.5</v>
      </c>
      <c r="W11" s="5">
        <v>0.5</v>
      </c>
      <c r="X11" s="5">
        <v>0.5</v>
      </c>
      <c r="Y11" s="5">
        <v>0.5</v>
      </c>
      <c r="Z11" s="5">
        <v>0</v>
      </c>
      <c r="AA11" s="5">
        <v>0</v>
      </c>
      <c r="AB11" s="5">
        <v>0</v>
      </c>
      <c r="AD11" s="4" t="s">
        <v>4</v>
      </c>
      <c r="AE11" s="5">
        <v>2</v>
      </c>
      <c r="AF11" s="5">
        <v>3</v>
      </c>
      <c r="AG11" s="5">
        <v>0</v>
      </c>
      <c r="AH11" s="5">
        <v>0.44999999999999929</v>
      </c>
      <c r="AI11" s="5">
        <v>-0.24000000000000021</v>
      </c>
      <c r="AJ11" s="5">
        <v>1.0000000000000009E-2</v>
      </c>
      <c r="AK11" s="5">
        <v>0.08</v>
      </c>
      <c r="AL11" s="5">
        <v>0.3</v>
      </c>
      <c r="AM11" s="5">
        <v>3.12</v>
      </c>
    </row>
    <row r="12" spans="6:39" x14ac:dyDescent="0.25">
      <c r="F12" t="s">
        <v>5</v>
      </c>
      <c r="G12" s="1">
        <v>1</v>
      </c>
      <c r="H12" s="1">
        <v>5</v>
      </c>
      <c r="I12" s="1">
        <v>7</v>
      </c>
      <c r="J12" s="1">
        <v>3</v>
      </c>
      <c r="K12" s="1">
        <v>1</v>
      </c>
      <c r="L12" s="1">
        <v>2</v>
      </c>
      <c r="M12" s="1">
        <v>8</v>
      </c>
      <c r="N12" s="1">
        <v>2</v>
      </c>
      <c r="O12" s="1">
        <v>8</v>
      </c>
      <c r="Q12" s="1">
        <v>5</v>
      </c>
      <c r="S12" s="4" t="s">
        <v>5</v>
      </c>
      <c r="T12" s="5">
        <v>0</v>
      </c>
      <c r="U12" s="5">
        <v>0</v>
      </c>
      <c r="V12" s="5">
        <v>12</v>
      </c>
      <c r="W12" s="5">
        <v>12</v>
      </c>
      <c r="X12" s="5">
        <v>12</v>
      </c>
      <c r="Y12" s="5">
        <v>12</v>
      </c>
      <c r="Z12" s="5">
        <v>0</v>
      </c>
      <c r="AA12" s="5">
        <v>0</v>
      </c>
      <c r="AB12" s="5">
        <v>0</v>
      </c>
      <c r="AD12" s="4" t="s">
        <v>5</v>
      </c>
      <c r="AE12" s="5">
        <v>6.5</v>
      </c>
      <c r="AF12" s="5">
        <v>8</v>
      </c>
      <c r="AG12" s="5">
        <v>0</v>
      </c>
      <c r="AH12" s="5">
        <v>8.0000000000000071E-2</v>
      </c>
      <c r="AI12" s="5">
        <v>-0.30000000000000071</v>
      </c>
      <c r="AJ12" s="5">
        <v>0.59999999999999964</v>
      </c>
      <c r="AK12" s="5">
        <v>0.12</v>
      </c>
      <c r="AL12" s="5">
        <v>0.04</v>
      </c>
      <c r="AM12" s="5">
        <v>0.2</v>
      </c>
    </row>
    <row r="13" spans="6:39" x14ac:dyDescent="0.25">
      <c r="Q13" s="3" t="s">
        <v>16</v>
      </c>
    </row>
    <row r="14" spans="6:39" ht="15.75" thickBot="1" x14ac:dyDescent="0.3"/>
    <row r="15" spans="6:39" x14ac:dyDescent="0.25">
      <c r="F15" s="2" t="s">
        <v>17</v>
      </c>
      <c r="G15" t="str">
        <f t="shared" ref="G15:O15" si="0">G6</f>
        <v>g1</v>
      </c>
      <c r="H15" t="str">
        <f t="shared" si="0"/>
        <v>g2</v>
      </c>
      <c r="I15" t="str">
        <f t="shared" si="0"/>
        <v>g3</v>
      </c>
      <c r="J15" t="str">
        <f t="shared" si="0"/>
        <v>g4</v>
      </c>
      <c r="K15" t="str">
        <f t="shared" si="0"/>
        <v>g5</v>
      </c>
      <c r="L15" t="str">
        <f t="shared" si="0"/>
        <v>g6</v>
      </c>
      <c r="M15" t="str">
        <f t="shared" si="0"/>
        <v>g7</v>
      </c>
      <c r="N15" t="str">
        <f t="shared" si="0"/>
        <v>g8</v>
      </c>
      <c r="O15" t="str">
        <f t="shared" si="0"/>
        <v>g9</v>
      </c>
      <c r="Q15" s="16" t="s">
        <v>127</v>
      </c>
      <c r="R15" s="17"/>
      <c r="S15" s="17"/>
      <c r="T15" s="17"/>
      <c r="U15" s="17"/>
      <c r="V15" s="17"/>
      <c r="W15" s="17"/>
      <c r="X15" s="17"/>
      <c r="Y15" s="17"/>
      <c r="Z15" s="18"/>
      <c r="AA15" s="16" t="s">
        <v>128</v>
      </c>
      <c r="AB15" s="17"/>
      <c r="AC15" s="17"/>
      <c r="AD15" s="17"/>
      <c r="AE15" s="17"/>
      <c r="AF15" s="17"/>
      <c r="AG15" s="17"/>
      <c r="AH15" s="17"/>
      <c r="AI15" s="17"/>
      <c r="AJ15" s="18"/>
    </row>
    <row r="16" spans="6:39" x14ac:dyDescent="0.25">
      <c r="F16" t="str">
        <f t="shared" ref="F16:F21" si="1">F7</f>
        <v>gr1</v>
      </c>
      <c r="G16" s="5">
        <f>G7+$Q7+T7+AE7</f>
        <v>20</v>
      </c>
      <c r="H16" s="5">
        <f t="shared" ref="H16:O21" si="2">H7+$Q7+U7+AF7</f>
        <v>20</v>
      </c>
      <c r="I16" s="5">
        <f t="shared" si="2"/>
        <v>17</v>
      </c>
      <c r="J16" s="5">
        <f t="shared" si="2"/>
        <v>13</v>
      </c>
      <c r="K16" s="5">
        <f t="shared" si="2"/>
        <v>11</v>
      </c>
      <c r="L16" s="5">
        <f t="shared" si="2"/>
        <v>12</v>
      </c>
      <c r="M16" s="5">
        <f t="shared" si="2"/>
        <v>15.26</v>
      </c>
      <c r="N16" s="5">
        <f t="shared" si="2"/>
        <v>9.1999999999999993</v>
      </c>
      <c r="O16" s="5">
        <f t="shared" si="2"/>
        <v>14.88</v>
      </c>
      <c r="Q16" s="19"/>
      <c r="R16" s="6">
        <v>5</v>
      </c>
      <c r="S16" s="6">
        <v>2</v>
      </c>
      <c r="T16" s="6">
        <v>0.3</v>
      </c>
      <c r="U16" s="6">
        <v>0.2</v>
      </c>
      <c r="V16" s="6">
        <v>0.1</v>
      </c>
      <c r="W16" s="6">
        <v>1.4999999999999999E-2</v>
      </c>
      <c r="X16" s="6">
        <v>0.05</v>
      </c>
      <c r="Y16" s="6">
        <v>0.2</v>
      </c>
      <c r="Z16" s="20">
        <v>0.5</v>
      </c>
      <c r="AA16" s="19"/>
      <c r="AB16" s="6">
        <v>0.25</v>
      </c>
      <c r="AC16" s="6">
        <v>0.25</v>
      </c>
      <c r="AD16" s="6">
        <v>0.25</v>
      </c>
      <c r="AE16" s="6">
        <v>0.25</v>
      </c>
      <c r="AF16" s="6">
        <v>0.25</v>
      </c>
      <c r="AG16" s="6">
        <v>0.25</v>
      </c>
      <c r="AH16" s="6">
        <v>0.25</v>
      </c>
      <c r="AI16" s="6">
        <v>0.25</v>
      </c>
      <c r="AJ16" s="20">
        <v>0.25</v>
      </c>
    </row>
    <row r="17" spans="3:92" x14ac:dyDescent="0.25">
      <c r="F17" t="str">
        <f t="shared" si="1"/>
        <v>gr2</v>
      </c>
      <c r="G17" s="5">
        <f t="shared" ref="G17:G21" si="3">G8+$Q8+T8+AE8</f>
        <v>15</v>
      </c>
      <c r="H17" s="5">
        <f t="shared" si="2"/>
        <v>11</v>
      </c>
      <c r="I17" s="5">
        <f t="shared" si="2"/>
        <v>16</v>
      </c>
      <c r="J17" s="5">
        <f t="shared" si="2"/>
        <v>12.2</v>
      </c>
      <c r="K17" s="5">
        <f t="shared" si="2"/>
        <v>9.8000000000000007</v>
      </c>
      <c r="L17" s="5">
        <f t="shared" si="2"/>
        <v>11.23</v>
      </c>
      <c r="M17" s="5">
        <f t="shared" si="2"/>
        <v>12</v>
      </c>
      <c r="N17" s="5">
        <f t="shared" si="2"/>
        <v>6.3</v>
      </c>
      <c r="O17" s="5">
        <f t="shared" si="2"/>
        <v>6.9</v>
      </c>
      <c r="Q17" s="19"/>
      <c r="R17" s="6">
        <v>2.5</v>
      </c>
      <c r="S17" s="6">
        <v>1.7</v>
      </c>
      <c r="T17" s="6">
        <v>0.27500000000000002</v>
      </c>
      <c r="U17" s="6">
        <v>0.1</v>
      </c>
      <c r="V17" s="6">
        <v>0.125</v>
      </c>
      <c r="W17" s="6">
        <v>0.125</v>
      </c>
      <c r="X17" s="6">
        <v>0.1</v>
      </c>
      <c r="Y17" s="6">
        <v>0.15</v>
      </c>
      <c r="Z17" s="20">
        <v>0.15</v>
      </c>
      <c r="AA17" s="19"/>
      <c r="AB17" s="6">
        <v>0.25</v>
      </c>
      <c r="AC17" s="6">
        <v>0.25</v>
      </c>
      <c r="AD17" s="6">
        <v>0.25</v>
      </c>
      <c r="AE17" s="6">
        <v>0.25</v>
      </c>
      <c r="AF17" s="6">
        <v>0.25</v>
      </c>
      <c r="AG17" s="6">
        <v>0.25</v>
      </c>
      <c r="AH17" s="6">
        <v>0.25</v>
      </c>
      <c r="AI17" s="6">
        <v>0.25</v>
      </c>
      <c r="AJ17" s="20">
        <v>0.25</v>
      </c>
    </row>
    <row r="18" spans="3:92" x14ac:dyDescent="0.25">
      <c r="F18" t="str">
        <f t="shared" si="1"/>
        <v>gr3</v>
      </c>
      <c r="G18" s="5">
        <f t="shared" si="3"/>
        <v>13</v>
      </c>
      <c r="H18" s="5">
        <f t="shared" si="2"/>
        <v>25</v>
      </c>
      <c r="I18" s="5">
        <f t="shared" si="2"/>
        <v>20</v>
      </c>
      <c r="J18" s="5">
        <f t="shared" si="2"/>
        <v>16.259999999999998</v>
      </c>
      <c r="K18" s="5">
        <f t="shared" si="2"/>
        <v>13.7</v>
      </c>
      <c r="L18" s="5">
        <f t="shared" si="2"/>
        <v>14.9</v>
      </c>
      <c r="M18" s="5">
        <f t="shared" si="2"/>
        <v>22.9</v>
      </c>
      <c r="N18" s="5">
        <f t="shared" si="2"/>
        <v>13.23</v>
      </c>
      <c r="O18" s="5">
        <f t="shared" si="2"/>
        <v>18.84</v>
      </c>
      <c r="Q18" s="19"/>
      <c r="R18" s="6">
        <v>2</v>
      </c>
      <c r="S18" s="6">
        <v>2</v>
      </c>
      <c r="T18" s="6">
        <v>0.33</v>
      </c>
      <c r="U18" s="6">
        <v>0.23</v>
      </c>
      <c r="V18" s="6">
        <v>0.14000000000000001</v>
      </c>
      <c r="W18" s="6">
        <v>0.2</v>
      </c>
      <c r="X18" s="6">
        <v>0.06</v>
      </c>
      <c r="Y18" s="6">
        <v>0.2</v>
      </c>
      <c r="Z18" s="20">
        <v>0.15</v>
      </c>
      <c r="AA18" s="19"/>
      <c r="AB18" s="6">
        <v>0.25</v>
      </c>
      <c r="AC18" s="6">
        <v>0.25</v>
      </c>
      <c r="AD18" s="6">
        <v>0.25</v>
      </c>
      <c r="AE18" s="6">
        <v>0.25</v>
      </c>
      <c r="AF18" s="6">
        <v>0.25</v>
      </c>
      <c r="AG18" s="6">
        <v>0.25</v>
      </c>
      <c r="AH18" s="6">
        <v>0.25</v>
      </c>
      <c r="AI18" s="6">
        <v>0.25</v>
      </c>
      <c r="AJ18" s="20">
        <v>0.25</v>
      </c>
    </row>
    <row r="19" spans="3:92" x14ac:dyDescent="0.25">
      <c r="F19" t="str">
        <f t="shared" si="1"/>
        <v>gr4</v>
      </c>
      <c r="G19" s="5">
        <f t="shared" si="3"/>
        <v>7</v>
      </c>
      <c r="H19" s="5">
        <f t="shared" si="2"/>
        <v>19</v>
      </c>
      <c r="I19" s="5">
        <f t="shared" si="2"/>
        <v>17</v>
      </c>
      <c r="J19" s="5">
        <f t="shared" si="2"/>
        <v>12.64</v>
      </c>
      <c r="K19" s="5">
        <f t="shared" si="2"/>
        <v>10.77</v>
      </c>
      <c r="L19" s="5">
        <f t="shared" si="2"/>
        <v>11.98</v>
      </c>
      <c r="M19" s="5">
        <f t="shared" si="2"/>
        <v>10.01</v>
      </c>
      <c r="N19" s="5">
        <f t="shared" si="2"/>
        <v>13.08</v>
      </c>
      <c r="O19" s="5">
        <f t="shared" si="2"/>
        <v>10.25</v>
      </c>
      <c r="Q19" s="19"/>
      <c r="R19" s="6">
        <v>1.1000000000000001</v>
      </c>
      <c r="S19" s="6">
        <v>2.5</v>
      </c>
      <c r="T19" s="6">
        <v>0.35</v>
      </c>
      <c r="U19" s="6">
        <v>0.215</v>
      </c>
      <c r="V19" s="6">
        <v>7.4999999999999997E-2</v>
      </c>
      <c r="W19" s="6">
        <v>0.4</v>
      </c>
      <c r="X19" s="6">
        <v>0.115</v>
      </c>
      <c r="Y19" s="6">
        <v>0.22</v>
      </c>
      <c r="Z19" s="20">
        <v>0.25</v>
      </c>
      <c r="AA19" s="19"/>
      <c r="AB19" s="6">
        <v>0.25</v>
      </c>
      <c r="AC19" s="6">
        <v>0.25</v>
      </c>
      <c r="AD19" s="6">
        <v>0.25</v>
      </c>
      <c r="AE19" s="6">
        <v>0.25</v>
      </c>
      <c r="AF19" s="6">
        <v>0.25</v>
      </c>
      <c r="AG19" s="6">
        <v>0.25</v>
      </c>
      <c r="AH19" s="6">
        <v>0.25</v>
      </c>
      <c r="AI19" s="6">
        <v>0.25</v>
      </c>
      <c r="AJ19" s="20">
        <v>0.25</v>
      </c>
    </row>
    <row r="20" spans="3:92" x14ac:dyDescent="0.25">
      <c r="F20" t="str">
        <f t="shared" si="1"/>
        <v>gr5</v>
      </c>
      <c r="G20" s="5">
        <f t="shared" si="3"/>
        <v>6</v>
      </c>
      <c r="H20" s="5">
        <f t="shared" si="2"/>
        <v>11</v>
      </c>
      <c r="I20" s="5">
        <f t="shared" si="2"/>
        <v>10.5</v>
      </c>
      <c r="J20" s="5">
        <f t="shared" si="2"/>
        <v>6.9499999999999993</v>
      </c>
      <c r="K20" s="5">
        <f t="shared" si="2"/>
        <v>4.26</v>
      </c>
      <c r="L20" s="5">
        <f t="shared" si="2"/>
        <v>5.51</v>
      </c>
      <c r="M20" s="5">
        <f t="shared" si="2"/>
        <v>11.08</v>
      </c>
      <c r="N20" s="5">
        <f t="shared" si="2"/>
        <v>5.3</v>
      </c>
      <c r="O20" s="5">
        <f t="shared" si="2"/>
        <v>14.120000000000001</v>
      </c>
      <c r="Q20" s="19"/>
      <c r="R20" s="6">
        <v>1</v>
      </c>
      <c r="S20" s="6">
        <v>2.5</v>
      </c>
      <c r="T20" s="6">
        <v>0.15</v>
      </c>
      <c r="U20" s="6">
        <v>0.24</v>
      </c>
      <c r="V20" s="6">
        <v>0.11</v>
      </c>
      <c r="W20" s="6">
        <v>0.1</v>
      </c>
      <c r="X20" s="6">
        <v>6.5000000000000002E-2</v>
      </c>
      <c r="Y20" s="6">
        <v>0.3</v>
      </c>
      <c r="Z20" s="20">
        <v>0.03</v>
      </c>
      <c r="AA20" s="19"/>
      <c r="AB20" s="6">
        <v>0.25</v>
      </c>
      <c r="AC20" s="6">
        <v>0.25</v>
      </c>
      <c r="AD20" s="6">
        <v>0.25</v>
      </c>
      <c r="AE20" s="6">
        <v>0.25</v>
      </c>
      <c r="AF20" s="6">
        <v>0.25</v>
      </c>
      <c r="AG20" s="6">
        <v>0.25</v>
      </c>
      <c r="AH20" s="6">
        <v>0.25</v>
      </c>
      <c r="AI20" s="6">
        <v>0.25</v>
      </c>
      <c r="AJ20" s="20">
        <v>0.25</v>
      </c>
    </row>
    <row r="21" spans="3:92" ht="15.75" thickBot="1" x14ac:dyDescent="0.3">
      <c r="F21" t="str">
        <f t="shared" si="1"/>
        <v>gr6</v>
      </c>
      <c r="G21" s="5">
        <f t="shared" si="3"/>
        <v>12.5</v>
      </c>
      <c r="H21" s="5">
        <f t="shared" si="2"/>
        <v>18</v>
      </c>
      <c r="I21" s="5">
        <f t="shared" si="2"/>
        <v>24</v>
      </c>
      <c r="J21" s="5">
        <f t="shared" si="2"/>
        <v>20.079999999999998</v>
      </c>
      <c r="K21" s="5">
        <f t="shared" si="2"/>
        <v>17.7</v>
      </c>
      <c r="L21" s="5">
        <f t="shared" si="2"/>
        <v>19.600000000000001</v>
      </c>
      <c r="M21" s="5">
        <f t="shared" si="2"/>
        <v>13.12</v>
      </c>
      <c r="N21" s="5">
        <f t="shared" si="2"/>
        <v>7.04</v>
      </c>
      <c r="O21" s="5">
        <f t="shared" si="2"/>
        <v>13.2</v>
      </c>
      <c r="Q21" s="21"/>
      <c r="R21" s="22">
        <v>0.1</v>
      </c>
      <c r="S21" s="22">
        <v>0.8</v>
      </c>
      <c r="T21" s="22">
        <v>0.14000000000000001</v>
      </c>
      <c r="U21" s="22">
        <v>0.22</v>
      </c>
      <c r="V21" s="22">
        <v>0.1</v>
      </c>
      <c r="W21" s="22">
        <v>0.16</v>
      </c>
      <c r="X21" s="22">
        <v>0.1</v>
      </c>
      <c r="Y21" s="22">
        <v>0.2</v>
      </c>
      <c r="Z21" s="23">
        <v>0.23499999999999999</v>
      </c>
      <c r="AA21" s="21"/>
      <c r="AB21" s="22">
        <v>0.25</v>
      </c>
      <c r="AC21" s="22">
        <v>0.25</v>
      </c>
      <c r="AD21" s="22">
        <v>0.25</v>
      </c>
      <c r="AE21" s="22">
        <v>0.25</v>
      </c>
      <c r="AF21" s="22">
        <v>0.25</v>
      </c>
      <c r="AG21" s="22">
        <v>0.25</v>
      </c>
      <c r="AH21" s="22">
        <v>0.25</v>
      </c>
      <c r="AI21" s="22">
        <v>0.25</v>
      </c>
      <c r="AJ21" s="23">
        <v>0.25</v>
      </c>
    </row>
    <row r="25" spans="3:92" ht="23.25" x14ac:dyDescent="0.35">
      <c r="AK25" t="s">
        <v>18</v>
      </c>
      <c r="BE25" t="s">
        <v>19</v>
      </c>
      <c r="BF25" t="s">
        <v>20</v>
      </c>
      <c r="BG25" t="s">
        <v>121</v>
      </c>
      <c r="BP25" s="39" t="s">
        <v>129</v>
      </c>
      <c r="BR25" t="s">
        <v>19</v>
      </c>
      <c r="BS25" t="s">
        <v>20</v>
      </c>
      <c r="BT25" t="s">
        <v>29</v>
      </c>
      <c r="BU25" t="s">
        <v>30</v>
      </c>
      <c r="CE25" s="39" t="s">
        <v>150</v>
      </c>
    </row>
    <row r="26" spans="3:92" ht="15.75" thickBot="1" x14ac:dyDescent="0.3">
      <c r="BE26">
        <v>5</v>
      </c>
      <c r="BF26">
        <v>42</v>
      </c>
      <c r="BG26">
        <f>AVERAGE(AA111:AI111,AA112:AI112,AA113:AI113,AA114:AI114,AA115:AI115,AA116:AI116)/100/2</f>
        <v>0.25</v>
      </c>
      <c r="BH26" t="e">
        <f>BG25+5</f>
        <v>#VALUE!</v>
      </c>
      <c r="BI26" s="33"/>
      <c r="BR26">
        <f>BE26-BT26</f>
        <v>0</v>
      </c>
      <c r="BS26">
        <f>BF26+BT26</f>
        <v>47</v>
      </c>
      <c r="BT26">
        <f>BE26</f>
        <v>5</v>
      </c>
      <c r="BU26">
        <v>0.5</v>
      </c>
    </row>
    <row r="27" spans="3:92" x14ac:dyDescent="0.25">
      <c r="G27" t="str">
        <f>F15</f>
        <v>initial summary</v>
      </c>
      <c r="Q27" t="str">
        <f>Q15</f>
        <v>instability for gene in group</v>
      </c>
      <c r="Z27" s="6"/>
      <c r="AA27" t="str">
        <f>AA15</f>
        <v>inconsistance in technical repeats</v>
      </c>
      <c r="AK27" t="s">
        <v>152</v>
      </c>
      <c r="AU27" s="6"/>
      <c r="AV27" s="6"/>
      <c r="AW27" s="6"/>
      <c r="AX27" s="6"/>
      <c r="AY27" s="6"/>
      <c r="AZ27" s="6"/>
      <c r="BA27" s="6"/>
      <c r="BB27" s="6"/>
      <c r="BC27" s="6"/>
      <c r="BE27" t="str">
        <f>BR27</f>
        <v>g1</v>
      </c>
      <c r="BF27" t="str">
        <f t="shared" ref="BF27:BM27" si="4">BS27</f>
        <v>g2</v>
      </c>
      <c r="BG27" t="str">
        <f t="shared" si="4"/>
        <v>g3</v>
      </c>
      <c r="BH27" t="str">
        <f t="shared" si="4"/>
        <v>g4</v>
      </c>
      <c r="BI27" t="str">
        <f t="shared" si="4"/>
        <v>g5</v>
      </c>
      <c r="BJ27" t="str">
        <f t="shared" si="4"/>
        <v>g6</v>
      </c>
      <c r="BK27" t="str">
        <f t="shared" si="4"/>
        <v>g7</v>
      </c>
      <c r="BL27" t="str">
        <f t="shared" si="4"/>
        <v>g8</v>
      </c>
      <c r="BM27" t="str">
        <f t="shared" si="4"/>
        <v>g9</v>
      </c>
      <c r="BO27" s="41"/>
      <c r="BP27" s="42"/>
      <c r="BQ27" s="42" t="s">
        <v>129</v>
      </c>
      <c r="BR27" s="42" t="str">
        <f>G15</f>
        <v>g1</v>
      </c>
      <c r="BS27" s="42" t="str">
        <f t="shared" ref="BS27:BZ27" si="5">H15</f>
        <v>g2</v>
      </c>
      <c r="BT27" s="42" t="str">
        <f t="shared" si="5"/>
        <v>g3</v>
      </c>
      <c r="BU27" s="42" t="str">
        <f t="shared" si="5"/>
        <v>g4</v>
      </c>
      <c r="BV27" s="42" t="str">
        <f t="shared" si="5"/>
        <v>g5</v>
      </c>
      <c r="BW27" s="42" t="str">
        <f t="shared" si="5"/>
        <v>g6</v>
      </c>
      <c r="BX27" s="42" t="str">
        <f t="shared" si="5"/>
        <v>g7</v>
      </c>
      <c r="BY27" s="42" t="str">
        <f t="shared" si="5"/>
        <v>g8</v>
      </c>
      <c r="BZ27" s="43" t="str">
        <f t="shared" si="5"/>
        <v>g9</v>
      </c>
      <c r="CC27" s="50"/>
      <c r="CD27" s="51"/>
      <c r="CE27" s="51" t="s">
        <v>129</v>
      </c>
      <c r="CF27" s="51" t="str">
        <f t="shared" ref="CF27:CN27" si="6">BR27</f>
        <v>g1</v>
      </c>
      <c r="CG27" s="51" t="str">
        <f t="shared" si="6"/>
        <v>g2</v>
      </c>
      <c r="CH27" s="51" t="str">
        <f t="shared" si="6"/>
        <v>g3</v>
      </c>
      <c r="CI27" s="51" t="str">
        <f t="shared" si="6"/>
        <v>g4</v>
      </c>
      <c r="CJ27" s="51" t="str">
        <f t="shared" si="6"/>
        <v>g5</v>
      </c>
      <c r="CK27" s="51" t="str">
        <f t="shared" si="6"/>
        <v>g6</v>
      </c>
      <c r="CL27" s="51" t="str">
        <f t="shared" si="6"/>
        <v>g7</v>
      </c>
      <c r="CM27" s="51" t="str">
        <f t="shared" si="6"/>
        <v>g8</v>
      </c>
      <c r="CN27" s="52" t="str">
        <f t="shared" si="6"/>
        <v>g9</v>
      </c>
    </row>
    <row r="28" spans="3:92" x14ac:dyDescent="0.25">
      <c r="C28" t="str">
        <f>F$7</f>
        <v>gr1</v>
      </c>
      <c r="D28" t="s">
        <v>103</v>
      </c>
      <c r="E28" t="s">
        <v>31</v>
      </c>
      <c r="G28" s="7">
        <f>G16</f>
        <v>20</v>
      </c>
      <c r="H28" s="8">
        <f t="shared" ref="H28:O28" si="7">H16</f>
        <v>20</v>
      </c>
      <c r="I28" s="8">
        <f t="shared" si="7"/>
        <v>17</v>
      </c>
      <c r="J28" s="8">
        <f t="shared" si="7"/>
        <v>13</v>
      </c>
      <c r="K28" s="8">
        <f t="shared" si="7"/>
        <v>11</v>
      </c>
      <c r="L28" s="8">
        <f t="shared" si="7"/>
        <v>12</v>
      </c>
      <c r="M28" s="8">
        <f t="shared" si="7"/>
        <v>15.26</v>
      </c>
      <c r="N28" s="8">
        <f t="shared" si="7"/>
        <v>9.1999999999999993</v>
      </c>
      <c r="O28" s="9">
        <f t="shared" si="7"/>
        <v>14.88</v>
      </c>
      <c r="Q28" s="7">
        <f t="shared" ref="Q28:Y28" ca="1" si="8">RANDBETWEEN(0,Q111)/100-Q111/100/2</f>
        <v>-2.64</v>
      </c>
      <c r="R28" s="8">
        <f t="shared" ca="1" si="8"/>
        <v>-0.8</v>
      </c>
      <c r="S28" s="8">
        <f t="shared" ca="1" si="8"/>
        <v>0.26000000000000006</v>
      </c>
      <c r="T28" s="8">
        <f t="shared" ca="1" si="8"/>
        <v>0.13</v>
      </c>
      <c r="U28" s="8">
        <f t="shared" ca="1" si="8"/>
        <v>-2.0000000000000004E-2</v>
      </c>
      <c r="V28" s="8">
        <f t="shared" ca="1" si="8"/>
        <v>-4.9999999999999992E-3</v>
      </c>
      <c r="W28" s="8">
        <f t="shared" ca="1" si="8"/>
        <v>2.0000000000000004E-2</v>
      </c>
      <c r="X28" s="8">
        <f t="shared" ca="1" si="8"/>
        <v>-5.0000000000000017E-2</v>
      </c>
      <c r="Y28" s="9">
        <f t="shared" ca="1" si="8"/>
        <v>-0.33999999999999997</v>
      </c>
      <c r="Z28" s="10"/>
      <c r="AA28" s="7">
        <f t="shared" ref="AA28:AI28" ca="1" si="9">RANDBETWEEN(0,AA111)/100-AA111/100/2</f>
        <v>0.24</v>
      </c>
      <c r="AB28" s="8">
        <f t="shared" ca="1" si="9"/>
        <v>0.2</v>
      </c>
      <c r="AC28" s="8">
        <f t="shared" ca="1" si="9"/>
        <v>0.13</v>
      </c>
      <c r="AD28" s="8">
        <f t="shared" ca="1" si="9"/>
        <v>0.24</v>
      </c>
      <c r="AE28" s="8">
        <f t="shared" ca="1" si="9"/>
        <v>0.21000000000000002</v>
      </c>
      <c r="AF28" s="8">
        <f t="shared" ca="1" si="9"/>
        <v>-0.15</v>
      </c>
      <c r="AG28" s="8">
        <f t="shared" ca="1" si="9"/>
        <v>0.21000000000000002</v>
      </c>
      <c r="AH28" s="8">
        <f t="shared" ca="1" si="9"/>
        <v>-0.13</v>
      </c>
      <c r="AI28" s="9">
        <f t="shared" ca="1" si="9"/>
        <v>0.22999999999999998</v>
      </c>
      <c r="AK28" s="7"/>
      <c r="AL28" s="8"/>
      <c r="AM28" s="8"/>
      <c r="AN28" s="8"/>
      <c r="AO28" s="8"/>
      <c r="AP28" s="8">
        <v>-20</v>
      </c>
      <c r="AQ28" s="8"/>
      <c r="AR28" s="8" t="s">
        <v>18</v>
      </c>
      <c r="AS28" s="9"/>
      <c r="AU28" s="7">
        <f t="shared" ref="AU28" ca="1" si="10">IF(AK28=$AK$25,G28+Q28+AA28+AK28,IFERROR(G28+Q28+AA28+AK28,AK28))</f>
        <v>17.599999999999998</v>
      </c>
      <c r="AV28" s="8">
        <f t="shared" ref="AV28" ca="1" si="11">IF(AL28=$AK$25,H28+R28+AB28+AL28,IFERROR(H28+R28+AB28+AL28,AL28))</f>
        <v>19.399999999999999</v>
      </c>
      <c r="AW28" s="8">
        <f t="shared" ref="AW28" ca="1" si="12">IF(AM28=$AK$25,I28+S28+AC28+AM28,IFERROR(I28+S28+AC28+AM28,AM28))</f>
        <v>17.39</v>
      </c>
      <c r="AX28" s="8">
        <f t="shared" ref="AX28" ca="1" si="13">IF(AN28=$AK$25,J28+T28+AD28+AN28,IFERROR(J28+T28+AD28+AN28,AN28))</f>
        <v>13.370000000000001</v>
      </c>
      <c r="AY28" s="8">
        <f t="shared" ref="AY28" ca="1" si="14">IF(AO28=$AK$25,K28+U28+AE28+AO28,IFERROR(K28+U28+AE28+AO28,AO28))</f>
        <v>11.190000000000001</v>
      </c>
      <c r="AZ28" s="8">
        <f ca="1">IF(AP28=$AK$25,L28+V28+AF28+AP28,IFERROR(L28+V28+AF28+AP28,AP28))</f>
        <v>-8.1550000000000011</v>
      </c>
      <c r="BA28" s="8">
        <f t="shared" ref="BA28:BC28" ca="1" si="15">IF(AQ28=$AK$25,M28+W28+AG28+AQ28,IFERROR(M28+W28+AG28+AQ28,AQ28))</f>
        <v>15.49</v>
      </c>
      <c r="BB28" s="8" t="e">
        <f t="shared" ca="1" si="15"/>
        <v>#VALUE!</v>
      </c>
      <c r="BC28" s="9">
        <f t="shared" ca="1" si="15"/>
        <v>14.770000000000001</v>
      </c>
      <c r="BD28" s="15" t="str">
        <f>BO28</f>
        <v>gr1</v>
      </c>
      <c r="BE28" s="24">
        <f ca="1">IF(AU28&lt;$BE$26,"low",IF(AU28&gt;$BF$26,"high",AU28))</f>
        <v>17.599999999999998</v>
      </c>
      <c r="BF28" s="25">
        <f t="shared" ref="BF28:BM39" ca="1" si="16">IF(AV28&lt;$BE$26,"low",IF(AV28&gt;$BF$26,"high",AV28))</f>
        <v>19.399999999999999</v>
      </c>
      <c r="BG28" s="25">
        <f t="shared" ca="1" si="16"/>
        <v>17.39</v>
      </c>
      <c r="BH28" s="25">
        <f t="shared" ca="1" si="16"/>
        <v>13.370000000000001</v>
      </c>
      <c r="BI28" s="25">
        <f t="shared" ca="1" si="16"/>
        <v>11.190000000000001</v>
      </c>
      <c r="BJ28" s="25" t="str">
        <f t="shared" ca="1" si="16"/>
        <v>low</v>
      </c>
      <c r="BK28" s="25">
        <f t="shared" ca="1" si="16"/>
        <v>15.49</v>
      </c>
      <c r="BL28" s="25" t="e">
        <f t="shared" ca="1" si="16"/>
        <v>#VALUE!</v>
      </c>
      <c r="BM28" s="26">
        <f t="shared" ca="1" si="16"/>
        <v>14.770000000000001</v>
      </c>
      <c r="BO28" s="44" t="str">
        <f>C28</f>
        <v>gr1</v>
      </c>
      <c r="BP28" s="40" t="str">
        <f t="shared" ref="BP28:BQ28" si="17">D28</f>
        <v>1bios1</v>
      </c>
      <c r="BQ28" s="40" t="str">
        <f t="shared" si="17"/>
        <v>tech1</v>
      </c>
      <c r="BR28" s="27">
        <f ca="1">IF(BE28="low",$BR$26,IF(BE28="high",$BS$26,BE28))</f>
        <v>17.599999999999998</v>
      </c>
      <c r="BS28" s="27">
        <f t="shared" ref="BS28:BZ28" ca="1" si="18">IF(BF28="low",$BR$26,IF(BF28="high",$BS$26,BF28))</f>
        <v>19.399999999999999</v>
      </c>
      <c r="BT28" s="27">
        <f t="shared" ca="1" si="18"/>
        <v>17.39</v>
      </c>
      <c r="BU28" s="27">
        <f t="shared" ca="1" si="18"/>
        <v>13.370000000000001</v>
      </c>
      <c r="BV28" s="27">
        <f t="shared" ca="1" si="18"/>
        <v>11.190000000000001</v>
      </c>
      <c r="BW28" s="27">
        <f t="shared" ca="1" si="18"/>
        <v>0</v>
      </c>
      <c r="BX28" s="27">
        <f t="shared" ca="1" si="18"/>
        <v>15.49</v>
      </c>
      <c r="BY28" s="27" t="e">
        <f t="shared" ca="1" si="18"/>
        <v>#VALUE!</v>
      </c>
      <c r="BZ28" s="45">
        <f t="shared" ca="1" si="18"/>
        <v>14.770000000000001</v>
      </c>
      <c r="CC28" s="53" t="str">
        <f>BO28</f>
        <v>gr1</v>
      </c>
      <c r="CD28" s="54" t="str">
        <f t="shared" ref="CD28:CE28" si="19">BP28</f>
        <v>1bios1</v>
      </c>
      <c r="CE28" s="54" t="str">
        <f t="shared" si="19"/>
        <v>tech1</v>
      </c>
      <c r="CF28" s="27">
        <f ca="1">IF(BE28="low",$BT$26,IF(BE28="high",$BT$26,$BU$26))</f>
        <v>0.5</v>
      </c>
      <c r="CG28" s="27">
        <f t="shared" ref="CG28:CN28" ca="1" si="20">IF(BF28="low",$BT$26,IF(BF28="high",$BT$26,$BU$26))</f>
        <v>0.5</v>
      </c>
      <c r="CH28" s="27">
        <f t="shared" ca="1" si="20"/>
        <v>0.5</v>
      </c>
      <c r="CI28" s="27">
        <f t="shared" ca="1" si="20"/>
        <v>0.5</v>
      </c>
      <c r="CJ28" s="27">
        <f t="shared" ca="1" si="20"/>
        <v>0.5</v>
      </c>
      <c r="CK28" s="27">
        <f t="shared" ref="CK28:CK39" ca="1" si="21">IF(BJ28="low",$BT$26,IF(BJ28="high",$BT$26,$BU$26))</f>
        <v>5</v>
      </c>
      <c r="CL28" s="27">
        <f t="shared" ca="1" si="20"/>
        <v>0.5</v>
      </c>
      <c r="CM28" s="27" t="e">
        <f t="shared" ca="1" si="20"/>
        <v>#VALUE!</v>
      </c>
      <c r="CN28" s="45">
        <f t="shared" ca="1" si="20"/>
        <v>0.5</v>
      </c>
    </row>
    <row r="29" spans="3:92" x14ac:dyDescent="0.25">
      <c r="C29" t="str">
        <f t="shared" ref="C29:C39" si="22">F$7</f>
        <v>gr1</v>
      </c>
      <c r="D29" t="s">
        <v>103</v>
      </c>
      <c r="E29" t="s">
        <v>32</v>
      </c>
      <c r="G29" s="10">
        <f t="shared" ref="G29:G39" si="23">G28</f>
        <v>20</v>
      </c>
      <c r="H29" s="6">
        <f t="shared" ref="H29:O29" si="24">H28</f>
        <v>20</v>
      </c>
      <c r="I29" s="6">
        <f t="shared" si="24"/>
        <v>17</v>
      </c>
      <c r="J29" s="6">
        <f t="shared" si="24"/>
        <v>13</v>
      </c>
      <c r="K29" s="6">
        <f t="shared" si="24"/>
        <v>11</v>
      </c>
      <c r="L29" s="6">
        <f t="shared" si="24"/>
        <v>12</v>
      </c>
      <c r="M29" s="6">
        <f t="shared" si="24"/>
        <v>15.26</v>
      </c>
      <c r="N29" s="6">
        <f t="shared" si="24"/>
        <v>9.1999999999999993</v>
      </c>
      <c r="O29" s="11">
        <f t="shared" si="24"/>
        <v>14.88</v>
      </c>
      <c r="Q29" s="10">
        <f t="shared" ref="Q29:Y29" ca="1" si="25">Q28</f>
        <v>-2.64</v>
      </c>
      <c r="R29" s="6">
        <f t="shared" ca="1" si="25"/>
        <v>-0.8</v>
      </c>
      <c r="S29" s="6">
        <f t="shared" ca="1" si="25"/>
        <v>0.26000000000000006</v>
      </c>
      <c r="T29" s="6">
        <f t="shared" ca="1" si="25"/>
        <v>0.13</v>
      </c>
      <c r="U29" s="6">
        <f t="shared" ca="1" si="25"/>
        <v>-2.0000000000000004E-2</v>
      </c>
      <c r="V29" s="6">
        <f t="shared" ca="1" si="25"/>
        <v>-4.9999999999999992E-3</v>
      </c>
      <c r="W29" s="6">
        <f t="shared" ca="1" si="25"/>
        <v>2.0000000000000004E-2</v>
      </c>
      <c r="X29" s="6">
        <f t="shared" ca="1" si="25"/>
        <v>-5.0000000000000017E-2</v>
      </c>
      <c r="Y29" s="11">
        <f t="shared" ca="1" si="25"/>
        <v>-0.33999999999999997</v>
      </c>
      <c r="AA29" s="10">
        <f t="shared" ref="AA29:AI29" ca="1" si="26">RANDBETWEEN(0,AA111)/100-AA111/100/2</f>
        <v>-0.24</v>
      </c>
      <c r="AB29" s="6">
        <f t="shared" ca="1" si="26"/>
        <v>0.19</v>
      </c>
      <c r="AC29" s="6">
        <f t="shared" ca="1" si="26"/>
        <v>-0.06</v>
      </c>
      <c r="AD29" s="6">
        <f t="shared" ca="1" si="26"/>
        <v>0.21999999999999997</v>
      </c>
      <c r="AE29" s="6">
        <f t="shared" ca="1" si="26"/>
        <v>0.15000000000000002</v>
      </c>
      <c r="AF29" s="6">
        <f t="shared" ca="1" si="26"/>
        <v>-0.22</v>
      </c>
      <c r="AG29" s="6">
        <f t="shared" ca="1" si="26"/>
        <v>-0.22</v>
      </c>
      <c r="AH29" s="6">
        <f t="shared" ca="1" si="26"/>
        <v>-0.03</v>
      </c>
      <c r="AI29" s="11">
        <f t="shared" ca="1" si="26"/>
        <v>-0.21</v>
      </c>
      <c r="AK29" s="10" t="s">
        <v>18</v>
      </c>
      <c r="AL29" s="6"/>
      <c r="AM29" s="6">
        <v>2</v>
      </c>
      <c r="AN29" s="6"/>
      <c r="AO29" s="6"/>
      <c r="AP29" s="6">
        <v>-20</v>
      </c>
      <c r="AQ29" s="6"/>
      <c r="AR29" s="6" t="s">
        <v>18</v>
      </c>
      <c r="AS29" s="11"/>
      <c r="AU29" s="10" t="e">
        <f t="shared" ref="AU29:AU39" ca="1" si="27">IF(AK29=$AK$25,G29+Q29+AA29+AK29,IFERROR(G29+Q29+AA29+AK29,AK29))</f>
        <v>#VALUE!</v>
      </c>
      <c r="AV29" s="6">
        <f t="shared" ref="AV29:AV39" ca="1" si="28">IF(AL29=$AK$25,H29+R29+AB29+AL29,IFERROR(H29+R29+AB29+AL29,AL29))</f>
        <v>19.39</v>
      </c>
      <c r="AW29" s="6">
        <f t="shared" ref="AW29:AW39" ca="1" si="29">IF(AM29=$AK$25,I29+S29+AC29+AM29,IFERROR(I29+S29+AC29+AM29,AM29))</f>
        <v>19.200000000000003</v>
      </c>
      <c r="AX29" s="6">
        <f t="shared" ref="AX29:AX39" ca="1" si="30">IF(AN29=$AK$25,J29+T29+AD29+AN29,IFERROR(J29+T29+AD29+AN29,AN29))</f>
        <v>13.350000000000001</v>
      </c>
      <c r="AY29" s="6">
        <f t="shared" ref="AY29:AY39" ca="1" si="31">IF(AO29=$AK$25,K29+U29+AE29+AO29,IFERROR(K29+U29+AE29+AO29,AO29))</f>
        <v>11.13</v>
      </c>
      <c r="AZ29" s="6">
        <f t="shared" ref="AZ29:AZ39" ca="1" si="32">IF(AP29=$AK$25,L29+V29+AF29+AP29,IFERROR(L29+V29+AF29+AP29,AP29))</f>
        <v>-8.2250000000000014</v>
      </c>
      <c r="BA29" s="6">
        <f t="shared" ref="BA29:BA39" ca="1" si="33">IF(AQ29=$AK$25,M29+W29+AG29+AQ29,IFERROR(M29+W29+AG29+AQ29,AQ29))</f>
        <v>15.059999999999999</v>
      </c>
      <c r="BB29" s="6" t="e">
        <f t="shared" ref="BB29:BB39" ca="1" si="34">IF(AR29=$AK$25,N29+X29+AH29+AR29,IFERROR(N29+X29+AH29+AR29,AR29))</f>
        <v>#VALUE!</v>
      </c>
      <c r="BC29" s="11">
        <f t="shared" ref="BC29:BC39" ca="1" si="35">IF(AS29=$AK$25,O29+Y29+AI29+AS29,IFERROR(O29+Y29+AI29+AS29,AS29))</f>
        <v>14.33</v>
      </c>
      <c r="BD29" s="15" t="str">
        <f t="shared" ref="BD29:BD91" si="36">BO29</f>
        <v>gr1</v>
      </c>
      <c r="BE29" s="27" t="e">
        <f t="shared" ref="BE29:BE39" ca="1" si="37">IF(AU29&lt;$BE$26,"low",IF(AU29&gt;$BF$26,"high",AU29))</f>
        <v>#VALUE!</v>
      </c>
      <c r="BF29" s="28">
        <f t="shared" ca="1" si="16"/>
        <v>19.39</v>
      </c>
      <c r="BG29" s="28">
        <f t="shared" ca="1" si="16"/>
        <v>19.200000000000003</v>
      </c>
      <c r="BH29" s="28">
        <f t="shared" ca="1" si="16"/>
        <v>13.350000000000001</v>
      </c>
      <c r="BI29" s="28">
        <f t="shared" ca="1" si="16"/>
        <v>11.13</v>
      </c>
      <c r="BJ29" s="28" t="str">
        <f t="shared" ca="1" si="16"/>
        <v>low</v>
      </c>
      <c r="BK29" s="28">
        <f t="shared" ca="1" si="16"/>
        <v>15.059999999999999</v>
      </c>
      <c r="BL29" s="28" t="e">
        <f t="shared" ca="1" si="16"/>
        <v>#VALUE!</v>
      </c>
      <c r="BM29" s="29">
        <f t="shared" ca="1" si="16"/>
        <v>14.33</v>
      </c>
      <c r="BO29" s="44" t="str">
        <f t="shared" ref="BO29:BO39" si="38">C29</f>
        <v>gr1</v>
      </c>
      <c r="BP29" s="40" t="str">
        <f t="shared" ref="BP29:BP39" si="39">D29</f>
        <v>1bios1</v>
      </c>
      <c r="BQ29" s="40" t="str">
        <f t="shared" ref="BQ29:BQ39" si="40">E29</f>
        <v>tech2</v>
      </c>
      <c r="BR29" s="27" t="e">
        <f t="shared" ref="BR29:BR39" ca="1" si="41">IF(BE29="low",$BR$26,IF(BE29="high",$BS$26,BE29))</f>
        <v>#VALUE!</v>
      </c>
      <c r="BS29" s="27">
        <f t="shared" ref="BS29:BS39" ca="1" si="42">IF(BF29="low",$BR$26,IF(BF29="high",$BS$26,BF29))</f>
        <v>19.39</v>
      </c>
      <c r="BT29" s="27">
        <f t="shared" ref="BT29:BT39" ca="1" si="43">IF(BG29="low",$BR$26,IF(BG29="high",$BS$26,BG29))</f>
        <v>19.200000000000003</v>
      </c>
      <c r="BU29" s="27">
        <f t="shared" ref="BU29:BU39" ca="1" si="44">IF(BH29="low",$BR$26,IF(BH29="high",$BS$26,BH29))</f>
        <v>13.350000000000001</v>
      </c>
      <c r="BV29" s="27">
        <f t="shared" ref="BV29:BV39" ca="1" si="45">IF(BI29="low",$BR$26,IF(BI29="high",$BS$26,BI29))</f>
        <v>11.13</v>
      </c>
      <c r="BW29" s="27">
        <f t="shared" ref="BW29:BW39" ca="1" si="46">IF(BJ29="low",$BR$26,IF(BJ29="high",$BS$26,BJ29))</f>
        <v>0</v>
      </c>
      <c r="BX29" s="27">
        <f t="shared" ref="BX29:BX39" ca="1" si="47">IF(BK29="low",$BR$26,IF(BK29="high",$BS$26,BK29))</f>
        <v>15.059999999999999</v>
      </c>
      <c r="BY29" s="27" t="e">
        <f t="shared" ref="BY29:BY39" ca="1" si="48">IF(BL29="low",$BR$26,IF(BL29="high",$BS$26,BL29))</f>
        <v>#VALUE!</v>
      </c>
      <c r="BZ29" s="45">
        <f t="shared" ref="BZ29:BZ39" ca="1" si="49">IF(BM29="low",$BR$26,IF(BM29="high",$BS$26,BM29))</f>
        <v>14.33</v>
      </c>
      <c r="CC29" s="53" t="str">
        <f t="shared" ref="CC29:CC39" si="50">BO29</f>
        <v>gr1</v>
      </c>
      <c r="CD29" s="54" t="str">
        <f t="shared" ref="CD29:CD39" si="51">BP29</f>
        <v>1bios1</v>
      </c>
      <c r="CE29" s="54" t="str">
        <f t="shared" ref="CE29:CE39" si="52">BQ29</f>
        <v>tech2</v>
      </c>
      <c r="CF29" s="27" t="e">
        <f t="shared" ref="CF29:CF39" ca="1" si="53">IF(BE29="low",$BT$26,IF(BE29="high",$BT$26,$BU$26))</f>
        <v>#VALUE!</v>
      </c>
      <c r="CG29" s="27">
        <f t="shared" ref="CG29:CG39" ca="1" si="54">IF(BF29="low",$BT$26,IF(BF29="high",$BT$26,$BU$26))</f>
        <v>0.5</v>
      </c>
      <c r="CH29" s="27">
        <f t="shared" ref="CH29:CH39" ca="1" si="55">IF(BG29="low",$BT$26,IF(BG29="high",$BT$26,$BU$26))</f>
        <v>0.5</v>
      </c>
      <c r="CI29" s="27">
        <f t="shared" ref="CI29:CI39" ca="1" si="56">IF(BH29="low",$BT$26,IF(BH29="high",$BT$26,$BU$26))</f>
        <v>0.5</v>
      </c>
      <c r="CJ29" s="27">
        <f t="shared" ref="CJ29:CJ39" ca="1" si="57">IF(BI29="low",$BT$26,IF(BI29="high",$BT$26,$BU$26))</f>
        <v>0.5</v>
      </c>
      <c r="CK29" s="27">
        <f t="shared" ca="1" si="21"/>
        <v>5</v>
      </c>
      <c r="CL29" s="27">
        <f t="shared" ref="CL29:CL39" ca="1" si="58">IF(BK29="low",$BT$26,IF(BK29="high",$BT$26,$BU$26))</f>
        <v>0.5</v>
      </c>
      <c r="CM29" s="27" t="e">
        <f t="shared" ref="CM29:CM39" ca="1" si="59">IF(BL29="low",$BT$26,IF(BL29="high",$BT$26,$BU$26))</f>
        <v>#VALUE!</v>
      </c>
      <c r="CN29" s="45">
        <f t="shared" ref="CN29:CN39" ca="1" si="60">IF(BM29="low",$BT$26,IF(BM29="high",$BT$26,$BU$26))</f>
        <v>0.5</v>
      </c>
    </row>
    <row r="30" spans="3:92" x14ac:dyDescent="0.25">
      <c r="C30" t="str">
        <f t="shared" si="22"/>
        <v>gr1</v>
      </c>
      <c r="D30" t="s">
        <v>103</v>
      </c>
      <c r="E30" t="s">
        <v>33</v>
      </c>
      <c r="G30" s="10">
        <f t="shared" si="23"/>
        <v>20</v>
      </c>
      <c r="H30" s="6">
        <f t="shared" ref="H30" si="61">H29</f>
        <v>20</v>
      </c>
      <c r="I30" s="6">
        <f t="shared" ref="I30" si="62">I29</f>
        <v>17</v>
      </c>
      <c r="J30" s="6">
        <f t="shared" ref="J30" si="63">J29</f>
        <v>13</v>
      </c>
      <c r="K30" s="6">
        <f t="shared" ref="K30" si="64">K29</f>
        <v>11</v>
      </c>
      <c r="L30" s="6">
        <f t="shared" ref="L30" si="65">L29</f>
        <v>12</v>
      </c>
      <c r="M30" s="6">
        <f t="shared" ref="M30" si="66">M29</f>
        <v>15.26</v>
      </c>
      <c r="N30" s="6">
        <f t="shared" ref="N30" si="67">N29</f>
        <v>9.1999999999999993</v>
      </c>
      <c r="O30" s="11">
        <f t="shared" ref="O30" si="68">O29</f>
        <v>14.88</v>
      </c>
      <c r="Q30" s="10">
        <f t="shared" ref="Q30" ca="1" si="69">Q29</f>
        <v>-2.64</v>
      </c>
      <c r="R30" s="6">
        <f t="shared" ref="R30:Y30" ca="1" si="70">R29</f>
        <v>-0.8</v>
      </c>
      <c r="S30" s="6">
        <f t="shared" ca="1" si="70"/>
        <v>0.26000000000000006</v>
      </c>
      <c r="T30" s="6">
        <f t="shared" ca="1" si="70"/>
        <v>0.13</v>
      </c>
      <c r="U30" s="6">
        <f t="shared" ca="1" si="70"/>
        <v>-2.0000000000000004E-2</v>
      </c>
      <c r="V30" s="6">
        <f t="shared" ca="1" si="70"/>
        <v>-4.9999999999999992E-3</v>
      </c>
      <c r="W30" s="6">
        <f t="shared" ca="1" si="70"/>
        <v>2.0000000000000004E-2</v>
      </c>
      <c r="X30" s="6">
        <f t="shared" ca="1" si="70"/>
        <v>-5.0000000000000017E-2</v>
      </c>
      <c r="Y30" s="11">
        <f t="shared" ca="1" si="70"/>
        <v>-0.33999999999999997</v>
      </c>
      <c r="AA30" s="10">
        <f t="shared" ref="AA30:AI30" ca="1" si="71">RANDBETWEEN(0,AA111)/100-AA111/100/2</f>
        <v>-7.9999999999999988E-2</v>
      </c>
      <c r="AB30" s="6">
        <f t="shared" ca="1" si="71"/>
        <v>-0.03</v>
      </c>
      <c r="AC30" s="6">
        <f t="shared" ca="1" si="71"/>
        <v>-0.1</v>
      </c>
      <c r="AD30" s="6">
        <f t="shared" ca="1" si="71"/>
        <v>8.0000000000000016E-2</v>
      </c>
      <c r="AE30" s="6">
        <f t="shared" ca="1" si="71"/>
        <v>3.999999999999998E-2</v>
      </c>
      <c r="AF30" s="6">
        <f t="shared" ca="1" si="71"/>
        <v>-1.0000000000000009E-2</v>
      </c>
      <c r="AG30" s="6">
        <f t="shared" ca="1" si="71"/>
        <v>-0.24</v>
      </c>
      <c r="AH30" s="6">
        <f t="shared" ca="1" si="71"/>
        <v>-7.0000000000000007E-2</v>
      </c>
      <c r="AI30" s="11">
        <f t="shared" ca="1" si="71"/>
        <v>-0.09</v>
      </c>
      <c r="AK30" s="10"/>
      <c r="AL30" s="6"/>
      <c r="AM30" s="6"/>
      <c r="AN30" s="6"/>
      <c r="AO30" s="6"/>
      <c r="AP30" s="6">
        <v>-20</v>
      </c>
      <c r="AQ30" s="6"/>
      <c r="AR30" s="6" t="s">
        <v>18</v>
      </c>
      <c r="AS30" s="11"/>
      <c r="AU30" s="10">
        <f t="shared" ca="1" si="27"/>
        <v>17.28</v>
      </c>
      <c r="AV30" s="6">
        <f t="shared" ca="1" si="28"/>
        <v>19.169999999999998</v>
      </c>
      <c r="AW30" s="6">
        <f t="shared" ca="1" si="29"/>
        <v>17.16</v>
      </c>
      <c r="AX30" s="6">
        <f t="shared" ca="1" si="30"/>
        <v>13.21</v>
      </c>
      <c r="AY30" s="6">
        <f t="shared" ca="1" si="31"/>
        <v>11.02</v>
      </c>
      <c r="AZ30" s="6">
        <f t="shared" ca="1" si="32"/>
        <v>-8.0150000000000006</v>
      </c>
      <c r="BA30" s="6">
        <f t="shared" ca="1" si="33"/>
        <v>15.04</v>
      </c>
      <c r="BB30" s="6" t="e">
        <f t="shared" ca="1" si="34"/>
        <v>#VALUE!</v>
      </c>
      <c r="BC30" s="11">
        <f t="shared" ca="1" si="35"/>
        <v>14.450000000000001</v>
      </c>
      <c r="BD30" s="15" t="str">
        <f t="shared" si="36"/>
        <v>gr1</v>
      </c>
      <c r="BE30" s="27">
        <f t="shared" ca="1" si="37"/>
        <v>17.28</v>
      </c>
      <c r="BF30" s="28">
        <f t="shared" ca="1" si="16"/>
        <v>19.169999999999998</v>
      </c>
      <c r="BG30" s="28">
        <f t="shared" ca="1" si="16"/>
        <v>17.16</v>
      </c>
      <c r="BH30" s="28">
        <f t="shared" ca="1" si="16"/>
        <v>13.21</v>
      </c>
      <c r="BI30" s="28">
        <f t="shared" ca="1" si="16"/>
        <v>11.02</v>
      </c>
      <c r="BJ30" s="28" t="str">
        <f t="shared" ca="1" si="16"/>
        <v>low</v>
      </c>
      <c r="BK30" s="28">
        <f t="shared" ca="1" si="16"/>
        <v>15.04</v>
      </c>
      <c r="BL30" s="28" t="e">
        <f t="shared" ca="1" si="16"/>
        <v>#VALUE!</v>
      </c>
      <c r="BM30" s="29">
        <f t="shared" ca="1" si="16"/>
        <v>14.450000000000001</v>
      </c>
      <c r="BO30" s="44" t="str">
        <f t="shared" si="38"/>
        <v>gr1</v>
      </c>
      <c r="BP30" s="40" t="str">
        <f t="shared" si="39"/>
        <v>1bios1</v>
      </c>
      <c r="BQ30" s="40" t="str">
        <f t="shared" si="40"/>
        <v>tech3</v>
      </c>
      <c r="BR30" s="27">
        <f t="shared" ca="1" si="41"/>
        <v>17.28</v>
      </c>
      <c r="BS30" s="27">
        <f t="shared" ca="1" si="42"/>
        <v>19.169999999999998</v>
      </c>
      <c r="BT30" s="27">
        <f t="shared" ca="1" si="43"/>
        <v>17.16</v>
      </c>
      <c r="BU30" s="27">
        <f t="shared" ca="1" si="44"/>
        <v>13.21</v>
      </c>
      <c r="BV30" s="27">
        <f t="shared" ca="1" si="45"/>
        <v>11.02</v>
      </c>
      <c r="BW30" s="27">
        <f t="shared" ca="1" si="46"/>
        <v>0</v>
      </c>
      <c r="BX30" s="27">
        <f t="shared" ca="1" si="47"/>
        <v>15.04</v>
      </c>
      <c r="BY30" s="27" t="e">
        <f t="shared" ca="1" si="48"/>
        <v>#VALUE!</v>
      </c>
      <c r="BZ30" s="45">
        <f t="shared" ca="1" si="49"/>
        <v>14.450000000000001</v>
      </c>
      <c r="CC30" s="53" t="str">
        <f t="shared" si="50"/>
        <v>gr1</v>
      </c>
      <c r="CD30" s="54" t="str">
        <f t="shared" si="51"/>
        <v>1bios1</v>
      </c>
      <c r="CE30" s="54" t="str">
        <f t="shared" si="52"/>
        <v>tech3</v>
      </c>
      <c r="CF30" s="27">
        <f t="shared" ca="1" si="53"/>
        <v>0.5</v>
      </c>
      <c r="CG30" s="27">
        <f t="shared" ca="1" si="54"/>
        <v>0.5</v>
      </c>
      <c r="CH30" s="27">
        <f t="shared" ca="1" si="55"/>
        <v>0.5</v>
      </c>
      <c r="CI30" s="27">
        <f t="shared" ca="1" si="56"/>
        <v>0.5</v>
      </c>
      <c r="CJ30" s="27">
        <f t="shared" ca="1" si="57"/>
        <v>0.5</v>
      </c>
      <c r="CK30" s="27">
        <f t="shared" ca="1" si="21"/>
        <v>5</v>
      </c>
      <c r="CL30" s="27">
        <f t="shared" ca="1" si="58"/>
        <v>0.5</v>
      </c>
      <c r="CM30" s="27" t="e">
        <f t="shared" ca="1" si="59"/>
        <v>#VALUE!</v>
      </c>
      <c r="CN30" s="45">
        <f t="shared" ca="1" si="60"/>
        <v>0.5</v>
      </c>
    </row>
    <row r="31" spans="3:92" x14ac:dyDescent="0.25">
      <c r="C31" t="str">
        <f t="shared" si="22"/>
        <v>gr1</v>
      </c>
      <c r="D31" t="s">
        <v>103</v>
      </c>
      <c r="E31" t="s">
        <v>34</v>
      </c>
      <c r="G31" s="12">
        <f t="shared" si="23"/>
        <v>20</v>
      </c>
      <c r="H31" s="13">
        <f t="shared" ref="H31:H33" si="72">H30</f>
        <v>20</v>
      </c>
      <c r="I31" s="13">
        <f t="shared" ref="I31:I33" si="73">I30</f>
        <v>17</v>
      </c>
      <c r="J31" s="13">
        <f t="shared" ref="J31:J33" si="74">J30</f>
        <v>13</v>
      </c>
      <c r="K31" s="13">
        <f t="shared" ref="K31:K33" si="75">K30</f>
        <v>11</v>
      </c>
      <c r="L31" s="13">
        <f t="shared" ref="L31:L33" si="76">L30</f>
        <v>12</v>
      </c>
      <c r="M31" s="13">
        <f t="shared" ref="M31:M33" si="77">M30</f>
        <v>15.26</v>
      </c>
      <c r="N31" s="13">
        <f t="shared" ref="N31:N33" si="78">N30</f>
        <v>9.1999999999999993</v>
      </c>
      <c r="O31" s="14">
        <f t="shared" ref="O31:O33" si="79">O30</f>
        <v>14.88</v>
      </c>
      <c r="Q31" s="12">
        <f t="shared" ref="Q31" ca="1" si="80">Q30</f>
        <v>-2.64</v>
      </c>
      <c r="R31" s="13">
        <f t="shared" ref="R31:Y31" ca="1" si="81">R30</f>
        <v>-0.8</v>
      </c>
      <c r="S31" s="13">
        <f t="shared" ca="1" si="81"/>
        <v>0.26000000000000006</v>
      </c>
      <c r="T31" s="13">
        <f t="shared" ca="1" si="81"/>
        <v>0.13</v>
      </c>
      <c r="U31" s="13">
        <f t="shared" ca="1" si="81"/>
        <v>-2.0000000000000004E-2</v>
      </c>
      <c r="V31" s="13">
        <f t="shared" ca="1" si="81"/>
        <v>-4.9999999999999992E-3</v>
      </c>
      <c r="W31" s="13">
        <f t="shared" ca="1" si="81"/>
        <v>2.0000000000000004E-2</v>
      </c>
      <c r="X31" s="13">
        <f t="shared" ca="1" si="81"/>
        <v>-5.0000000000000017E-2</v>
      </c>
      <c r="Y31" s="14">
        <f t="shared" ca="1" si="81"/>
        <v>-0.33999999999999997</v>
      </c>
      <c r="AA31" s="12">
        <f t="shared" ref="AA31:AI31" ca="1" si="82">RANDBETWEEN(0,AA111)/100-AA111/100/2</f>
        <v>0.19</v>
      </c>
      <c r="AB31" s="13">
        <f t="shared" ca="1" si="82"/>
        <v>0.18</v>
      </c>
      <c r="AC31" s="13">
        <f t="shared" ca="1" si="82"/>
        <v>3.0000000000000027E-2</v>
      </c>
      <c r="AD31" s="13">
        <f t="shared" ca="1" si="82"/>
        <v>3.999999999999998E-2</v>
      </c>
      <c r="AE31" s="13">
        <f t="shared" ca="1" si="82"/>
        <v>0.06</v>
      </c>
      <c r="AF31" s="13">
        <f t="shared" ca="1" si="82"/>
        <v>-0.16</v>
      </c>
      <c r="AG31" s="13">
        <f t="shared" ca="1" si="82"/>
        <v>0.06</v>
      </c>
      <c r="AH31" s="13">
        <f t="shared" ca="1" si="82"/>
        <v>3.0000000000000027E-2</v>
      </c>
      <c r="AI31" s="14">
        <f t="shared" ca="1" si="82"/>
        <v>0.10999999999999999</v>
      </c>
      <c r="AK31" s="12"/>
      <c r="AL31" s="13"/>
      <c r="AM31" s="13"/>
      <c r="AN31" s="13"/>
      <c r="AO31" s="13"/>
      <c r="AP31" s="13">
        <v>-20</v>
      </c>
      <c r="AQ31" s="13"/>
      <c r="AR31" s="13" t="s">
        <v>18</v>
      </c>
      <c r="AS31" s="14">
        <v>3</v>
      </c>
      <c r="AU31" s="12">
        <f t="shared" ca="1" si="27"/>
        <v>17.55</v>
      </c>
      <c r="AV31" s="13">
        <f t="shared" ca="1" si="28"/>
        <v>19.38</v>
      </c>
      <c r="AW31" s="13">
        <f t="shared" ca="1" si="29"/>
        <v>17.290000000000003</v>
      </c>
      <c r="AX31" s="13">
        <f t="shared" ca="1" si="30"/>
        <v>13.17</v>
      </c>
      <c r="AY31" s="13">
        <f t="shared" ca="1" si="31"/>
        <v>11.040000000000001</v>
      </c>
      <c r="AZ31" s="13">
        <f t="shared" ca="1" si="32"/>
        <v>-8.1650000000000009</v>
      </c>
      <c r="BA31" s="13">
        <f t="shared" ca="1" si="33"/>
        <v>15.34</v>
      </c>
      <c r="BB31" s="13" t="e">
        <f t="shared" ca="1" si="34"/>
        <v>#VALUE!</v>
      </c>
      <c r="BC31" s="14">
        <f t="shared" ca="1" si="35"/>
        <v>17.649999999999999</v>
      </c>
      <c r="BD31" s="15" t="str">
        <f t="shared" si="36"/>
        <v>gr1</v>
      </c>
      <c r="BE31" s="30">
        <f t="shared" ca="1" si="37"/>
        <v>17.55</v>
      </c>
      <c r="BF31" s="31">
        <f t="shared" ca="1" si="16"/>
        <v>19.38</v>
      </c>
      <c r="BG31" s="31">
        <f t="shared" ca="1" si="16"/>
        <v>17.290000000000003</v>
      </c>
      <c r="BH31" s="31">
        <f t="shared" ca="1" si="16"/>
        <v>13.17</v>
      </c>
      <c r="BI31" s="31">
        <f t="shared" ca="1" si="16"/>
        <v>11.040000000000001</v>
      </c>
      <c r="BJ31" s="31" t="str">
        <f t="shared" ca="1" si="16"/>
        <v>low</v>
      </c>
      <c r="BK31" s="31">
        <f t="shared" ca="1" si="16"/>
        <v>15.34</v>
      </c>
      <c r="BL31" s="31" t="e">
        <f t="shared" ca="1" si="16"/>
        <v>#VALUE!</v>
      </c>
      <c r="BM31" s="32">
        <f t="shared" ca="1" si="16"/>
        <v>17.649999999999999</v>
      </c>
      <c r="BO31" s="44" t="str">
        <f t="shared" si="38"/>
        <v>gr1</v>
      </c>
      <c r="BP31" s="40" t="str">
        <f t="shared" si="39"/>
        <v>1bios1</v>
      </c>
      <c r="BQ31" s="40" t="str">
        <f t="shared" si="40"/>
        <v>tech4</v>
      </c>
      <c r="BR31" s="27">
        <f t="shared" ca="1" si="41"/>
        <v>17.55</v>
      </c>
      <c r="BS31" s="27">
        <f t="shared" ca="1" si="42"/>
        <v>19.38</v>
      </c>
      <c r="BT31" s="27">
        <f t="shared" ca="1" si="43"/>
        <v>17.290000000000003</v>
      </c>
      <c r="BU31" s="27">
        <f t="shared" ca="1" si="44"/>
        <v>13.17</v>
      </c>
      <c r="BV31" s="27">
        <f t="shared" ca="1" si="45"/>
        <v>11.040000000000001</v>
      </c>
      <c r="BW31" s="27">
        <f t="shared" ca="1" si="46"/>
        <v>0</v>
      </c>
      <c r="BX31" s="27">
        <f t="shared" ca="1" si="47"/>
        <v>15.34</v>
      </c>
      <c r="BY31" s="27" t="e">
        <f t="shared" ca="1" si="48"/>
        <v>#VALUE!</v>
      </c>
      <c r="BZ31" s="45">
        <f t="shared" ca="1" si="49"/>
        <v>17.649999999999999</v>
      </c>
      <c r="CC31" s="53" t="str">
        <f t="shared" si="50"/>
        <v>gr1</v>
      </c>
      <c r="CD31" s="54" t="str">
        <f t="shared" si="51"/>
        <v>1bios1</v>
      </c>
      <c r="CE31" s="54" t="str">
        <f t="shared" si="52"/>
        <v>tech4</v>
      </c>
      <c r="CF31" s="27">
        <f t="shared" ca="1" si="53"/>
        <v>0.5</v>
      </c>
      <c r="CG31" s="27">
        <f t="shared" ca="1" si="54"/>
        <v>0.5</v>
      </c>
      <c r="CH31" s="27">
        <f t="shared" ca="1" si="55"/>
        <v>0.5</v>
      </c>
      <c r="CI31" s="27">
        <f t="shared" ca="1" si="56"/>
        <v>0.5</v>
      </c>
      <c r="CJ31" s="27">
        <f t="shared" ca="1" si="57"/>
        <v>0.5</v>
      </c>
      <c r="CK31" s="27">
        <f t="shared" ca="1" si="21"/>
        <v>5</v>
      </c>
      <c r="CL31" s="27">
        <f t="shared" ca="1" si="58"/>
        <v>0.5</v>
      </c>
      <c r="CM31" s="27" t="e">
        <f t="shared" ca="1" si="59"/>
        <v>#VALUE!</v>
      </c>
      <c r="CN31" s="45">
        <f t="shared" ca="1" si="60"/>
        <v>0.5</v>
      </c>
    </row>
    <row r="32" spans="3:92" x14ac:dyDescent="0.25">
      <c r="C32" t="str">
        <f t="shared" si="22"/>
        <v>gr1</v>
      </c>
      <c r="D32" t="s">
        <v>104</v>
      </c>
      <c r="E32" t="s">
        <v>35</v>
      </c>
      <c r="G32" s="7">
        <f t="shared" si="23"/>
        <v>20</v>
      </c>
      <c r="H32" s="8">
        <f t="shared" si="72"/>
        <v>20</v>
      </c>
      <c r="I32" s="8">
        <f t="shared" si="73"/>
        <v>17</v>
      </c>
      <c r="J32" s="8">
        <f t="shared" si="74"/>
        <v>13</v>
      </c>
      <c r="K32" s="8">
        <f t="shared" si="75"/>
        <v>11</v>
      </c>
      <c r="L32" s="8">
        <f t="shared" si="76"/>
        <v>12</v>
      </c>
      <c r="M32" s="8">
        <f t="shared" si="77"/>
        <v>15.26</v>
      </c>
      <c r="N32" s="8">
        <f t="shared" si="78"/>
        <v>9.1999999999999993</v>
      </c>
      <c r="O32" s="9">
        <f t="shared" si="79"/>
        <v>14.88</v>
      </c>
      <c r="Q32" s="7">
        <f t="shared" ref="Q32:Y32" ca="1" si="83">RANDBETWEEN(0,Q111)/100-Q111/100/2</f>
        <v>0.96</v>
      </c>
      <c r="R32" s="8">
        <f t="shared" ca="1" si="83"/>
        <v>2</v>
      </c>
      <c r="S32" s="8">
        <f t="shared" ca="1" si="83"/>
        <v>-0.21</v>
      </c>
      <c r="T32" s="8">
        <f t="shared" ca="1" si="83"/>
        <v>-4.0000000000000008E-2</v>
      </c>
      <c r="U32" s="8">
        <f t="shared" ca="1" si="83"/>
        <v>-6.0000000000000005E-2</v>
      </c>
      <c r="V32" s="8">
        <f t="shared" ca="1" si="83"/>
        <v>-4.9999999999999992E-3</v>
      </c>
      <c r="W32" s="8">
        <f t="shared" ca="1" si="83"/>
        <v>-2.0000000000000004E-2</v>
      </c>
      <c r="X32" s="8">
        <f t="shared" ca="1" si="83"/>
        <v>0.12</v>
      </c>
      <c r="Y32" s="9">
        <f t="shared" ca="1" si="83"/>
        <v>0.5</v>
      </c>
      <c r="AA32" s="7">
        <f t="shared" ref="AA32:AI32" ca="1" si="84">RANDBETWEEN(0,AA111)/100-AA111/100/2</f>
        <v>-0.22</v>
      </c>
      <c r="AB32" s="8">
        <f t="shared" ca="1" si="84"/>
        <v>0.15000000000000002</v>
      </c>
      <c r="AC32" s="8">
        <f t="shared" ca="1" si="84"/>
        <v>-0.16</v>
      </c>
      <c r="AD32" s="8">
        <f t="shared" ca="1" si="84"/>
        <v>-4.0000000000000008E-2</v>
      </c>
      <c r="AE32" s="8">
        <f t="shared" ca="1" si="84"/>
        <v>-0.13</v>
      </c>
      <c r="AF32" s="8">
        <f t="shared" ca="1" si="84"/>
        <v>8.0000000000000016E-2</v>
      </c>
      <c r="AG32" s="8">
        <f t="shared" ca="1" si="84"/>
        <v>-0.10999999999999999</v>
      </c>
      <c r="AH32" s="8">
        <f t="shared" ca="1" si="84"/>
        <v>4.9999999999999989E-2</v>
      </c>
      <c r="AI32" s="9">
        <f t="shared" ca="1" si="84"/>
        <v>-7.0000000000000007E-2</v>
      </c>
      <c r="AK32" s="7"/>
      <c r="AL32" s="8"/>
      <c r="AM32" s="8"/>
      <c r="AN32" s="8">
        <v>1</v>
      </c>
      <c r="AO32" s="8"/>
      <c r="AP32" s="8"/>
      <c r="AQ32" s="8"/>
      <c r="AR32" s="8"/>
      <c r="AS32" s="9"/>
      <c r="AU32" s="7">
        <f t="shared" ca="1" si="27"/>
        <v>20.740000000000002</v>
      </c>
      <c r="AV32" s="8">
        <f t="shared" ca="1" si="28"/>
        <v>22.15</v>
      </c>
      <c r="AW32" s="8">
        <f t="shared" ca="1" si="29"/>
        <v>16.63</v>
      </c>
      <c r="AX32" s="8">
        <f t="shared" ca="1" si="30"/>
        <v>13.920000000000002</v>
      </c>
      <c r="AY32" s="8">
        <f t="shared" ca="1" si="31"/>
        <v>10.809999999999999</v>
      </c>
      <c r="AZ32" s="8">
        <f t="shared" ca="1" si="32"/>
        <v>12.074999999999999</v>
      </c>
      <c r="BA32" s="8">
        <f t="shared" ca="1" si="33"/>
        <v>15.13</v>
      </c>
      <c r="BB32" s="8">
        <f t="shared" ca="1" si="34"/>
        <v>9.3699999999999992</v>
      </c>
      <c r="BC32" s="9">
        <f t="shared" ca="1" si="35"/>
        <v>15.31</v>
      </c>
      <c r="BD32" s="15" t="str">
        <f t="shared" si="36"/>
        <v>gr1</v>
      </c>
      <c r="BE32" s="27">
        <f t="shared" ca="1" si="37"/>
        <v>20.740000000000002</v>
      </c>
      <c r="BF32" s="28">
        <f t="shared" ca="1" si="16"/>
        <v>22.15</v>
      </c>
      <c r="BG32" s="28">
        <f t="shared" ca="1" si="16"/>
        <v>16.63</v>
      </c>
      <c r="BH32" s="28">
        <f t="shared" ca="1" si="16"/>
        <v>13.920000000000002</v>
      </c>
      <c r="BI32" s="28">
        <f t="shared" ca="1" si="16"/>
        <v>10.809999999999999</v>
      </c>
      <c r="BJ32" s="28">
        <f t="shared" ca="1" si="16"/>
        <v>12.074999999999999</v>
      </c>
      <c r="BK32" s="28">
        <f t="shared" ca="1" si="16"/>
        <v>15.13</v>
      </c>
      <c r="BL32" s="28">
        <f t="shared" ca="1" si="16"/>
        <v>9.3699999999999992</v>
      </c>
      <c r="BM32" s="29">
        <f t="shared" ca="1" si="16"/>
        <v>15.31</v>
      </c>
      <c r="BO32" s="44" t="str">
        <f t="shared" si="38"/>
        <v>gr1</v>
      </c>
      <c r="BP32" s="40" t="str">
        <f t="shared" si="39"/>
        <v>1bios2</v>
      </c>
      <c r="BQ32" s="40" t="str">
        <f t="shared" si="40"/>
        <v>tech5</v>
      </c>
      <c r="BR32" s="27">
        <f t="shared" ca="1" si="41"/>
        <v>20.740000000000002</v>
      </c>
      <c r="BS32" s="27">
        <f t="shared" ca="1" si="42"/>
        <v>22.15</v>
      </c>
      <c r="BT32" s="27">
        <f t="shared" ca="1" si="43"/>
        <v>16.63</v>
      </c>
      <c r="BU32" s="27">
        <f t="shared" ca="1" si="44"/>
        <v>13.920000000000002</v>
      </c>
      <c r="BV32" s="27">
        <f t="shared" ca="1" si="45"/>
        <v>10.809999999999999</v>
      </c>
      <c r="BW32" s="27">
        <f t="shared" ca="1" si="46"/>
        <v>12.074999999999999</v>
      </c>
      <c r="BX32" s="27">
        <f t="shared" ca="1" si="47"/>
        <v>15.13</v>
      </c>
      <c r="BY32" s="27">
        <f t="shared" ca="1" si="48"/>
        <v>9.3699999999999992</v>
      </c>
      <c r="BZ32" s="45">
        <f t="shared" ca="1" si="49"/>
        <v>15.31</v>
      </c>
      <c r="CC32" s="53" t="str">
        <f t="shared" si="50"/>
        <v>gr1</v>
      </c>
      <c r="CD32" s="54" t="str">
        <f t="shared" si="51"/>
        <v>1bios2</v>
      </c>
      <c r="CE32" s="54" t="str">
        <f t="shared" si="52"/>
        <v>tech5</v>
      </c>
      <c r="CF32" s="27">
        <f t="shared" ca="1" si="53"/>
        <v>0.5</v>
      </c>
      <c r="CG32" s="27">
        <f t="shared" ca="1" si="54"/>
        <v>0.5</v>
      </c>
      <c r="CH32" s="27">
        <f t="shared" ca="1" si="55"/>
        <v>0.5</v>
      </c>
      <c r="CI32" s="27">
        <f t="shared" ca="1" si="56"/>
        <v>0.5</v>
      </c>
      <c r="CJ32" s="27">
        <f t="shared" ca="1" si="57"/>
        <v>0.5</v>
      </c>
      <c r="CK32" s="27">
        <f t="shared" ca="1" si="21"/>
        <v>0.5</v>
      </c>
      <c r="CL32" s="27">
        <f t="shared" ca="1" si="58"/>
        <v>0.5</v>
      </c>
      <c r="CM32" s="27">
        <f t="shared" ca="1" si="59"/>
        <v>0.5</v>
      </c>
      <c r="CN32" s="45">
        <f t="shared" ca="1" si="60"/>
        <v>0.5</v>
      </c>
    </row>
    <row r="33" spans="3:92" x14ac:dyDescent="0.25">
      <c r="C33" t="str">
        <f t="shared" si="22"/>
        <v>gr1</v>
      </c>
      <c r="D33" t="s">
        <v>104</v>
      </c>
      <c r="E33" t="s">
        <v>36</v>
      </c>
      <c r="G33" s="10">
        <f t="shared" si="23"/>
        <v>20</v>
      </c>
      <c r="H33" s="6">
        <f t="shared" si="72"/>
        <v>20</v>
      </c>
      <c r="I33" s="6">
        <f t="shared" si="73"/>
        <v>17</v>
      </c>
      <c r="J33" s="6">
        <f t="shared" si="74"/>
        <v>13</v>
      </c>
      <c r="K33" s="6">
        <f t="shared" si="75"/>
        <v>11</v>
      </c>
      <c r="L33" s="6">
        <f t="shared" si="76"/>
        <v>12</v>
      </c>
      <c r="M33" s="6">
        <f t="shared" si="77"/>
        <v>15.26</v>
      </c>
      <c r="N33" s="6">
        <f t="shared" si="78"/>
        <v>9.1999999999999993</v>
      </c>
      <c r="O33" s="11">
        <f t="shared" si="79"/>
        <v>14.88</v>
      </c>
      <c r="Q33" s="10">
        <f t="shared" ref="Q33:Y33" ca="1" si="85">Q32</f>
        <v>0.96</v>
      </c>
      <c r="R33" s="6">
        <f t="shared" ca="1" si="85"/>
        <v>2</v>
      </c>
      <c r="S33" s="6">
        <f t="shared" ca="1" si="85"/>
        <v>-0.21</v>
      </c>
      <c r="T33" s="6">
        <f t="shared" ca="1" si="85"/>
        <v>-4.0000000000000008E-2</v>
      </c>
      <c r="U33" s="6">
        <f t="shared" ca="1" si="85"/>
        <v>-6.0000000000000005E-2</v>
      </c>
      <c r="V33" s="6">
        <f t="shared" ca="1" si="85"/>
        <v>-4.9999999999999992E-3</v>
      </c>
      <c r="W33" s="6">
        <f t="shared" ca="1" si="85"/>
        <v>-2.0000000000000004E-2</v>
      </c>
      <c r="X33" s="6">
        <f t="shared" ca="1" si="85"/>
        <v>0.12</v>
      </c>
      <c r="Y33" s="11">
        <f t="shared" ca="1" si="85"/>
        <v>0.5</v>
      </c>
      <c r="AA33" s="10">
        <f t="shared" ref="AA33:AI33" ca="1" si="86">RANDBETWEEN(0,AA111)/100-AA111/100/2</f>
        <v>-0.25</v>
      </c>
      <c r="AB33" s="6">
        <f t="shared" ca="1" si="86"/>
        <v>-0.18</v>
      </c>
      <c r="AC33" s="6">
        <f t="shared" ca="1" si="86"/>
        <v>-0.2</v>
      </c>
      <c r="AD33" s="6">
        <f t="shared" ca="1" si="86"/>
        <v>-0.22</v>
      </c>
      <c r="AE33" s="6">
        <f t="shared" ca="1" si="86"/>
        <v>-0.18</v>
      </c>
      <c r="AF33" s="6">
        <f t="shared" ca="1" si="86"/>
        <v>3.0000000000000027E-2</v>
      </c>
      <c r="AG33" s="6">
        <f t="shared" ca="1" si="86"/>
        <v>-4.0000000000000008E-2</v>
      </c>
      <c r="AH33" s="6">
        <f t="shared" ca="1" si="86"/>
        <v>2.0000000000000018E-2</v>
      </c>
      <c r="AI33" s="11">
        <f t="shared" ca="1" si="86"/>
        <v>-1.999999999999999E-2</v>
      </c>
      <c r="AK33" s="10">
        <v>4</v>
      </c>
      <c r="AL33" s="6"/>
      <c r="AM33" s="6" t="s">
        <v>18</v>
      </c>
      <c r="AN33" s="6"/>
      <c r="AO33" s="6"/>
      <c r="AP33" s="6"/>
      <c r="AQ33" s="6"/>
      <c r="AR33" s="6"/>
      <c r="AS33" s="11"/>
      <c r="AU33" s="10">
        <f t="shared" ca="1" si="27"/>
        <v>24.71</v>
      </c>
      <c r="AV33" s="6">
        <f t="shared" ca="1" si="28"/>
        <v>21.82</v>
      </c>
      <c r="AW33" s="6" t="e">
        <f t="shared" ca="1" si="29"/>
        <v>#VALUE!</v>
      </c>
      <c r="AX33" s="6">
        <f t="shared" ca="1" si="30"/>
        <v>12.74</v>
      </c>
      <c r="AY33" s="6">
        <f t="shared" ca="1" si="31"/>
        <v>10.76</v>
      </c>
      <c r="AZ33" s="6">
        <f t="shared" ca="1" si="32"/>
        <v>12.024999999999999</v>
      </c>
      <c r="BA33" s="6">
        <f t="shared" ca="1" si="33"/>
        <v>15.200000000000001</v>
      </c>
      <c r="BB33" s="6">
        <f t="shared" ca="1" si="34"/>
        <v>9.3399999999999981</v>
      </c>
      <c r="BC33" s="11">
        <f t="shared" ca="1" si="35"/>
        <v>15.360000000000001</v>
      </c>
      <c r="BD33" s="15" t="str">
        <f t="shared" si="36"/>
        <v>gr1</v>
      </c>
      <c r="BE33" s="27">
        <f t="shared" ca="1" si="37"/>
        <v>24.71</v>
      </c>
      <c r="BF33" s="28">
        <f t="shared" ca="1" si="16"/>
        <v>21.82</v>
      </c>
      <c r="BG33" s="28" t="e">
        <f t="shared" ca="1" si="16"/>
        <v>#VALUE!</v>
      </c>
      <c r="BH33" s="28">
        <f t="shared" ca="1" si="16"/>
        <v>12.74</v>
      </c>
      <c r="BI33" s="28">
        <f t="shared" ca="1" si="16"/>
        <v>10.76</v>
      </c>
      <c r="BJ33" s="28">
        <f t="shared" ca="1" si="16"/>
        <v>12.024999999999999</v>
      </c>
      <c r="BK33" s="28">
        <f t="shared" ca="1" si="16"/>
        <v>15.200000000000001</v>
      </c>
      <c r="BL33" s="28">
        <f t="shared" ca="1" si="16"/>
        <v>9.3399999999999981</v>
      </c>
      <c r="BM33" s="29">
        <f t="shared" ca="1" si="16"/>
        <v>15.360000000000001</v>
      </c>
      <c r="BO33" s="44" t="str">
        <f t="shared" si="38"/>
        <v>gr1</v>
      </c>
      <c r="BP33" s="40" t="str">
        <f t="shared" si="39"/>
        <v>1bios2</v>
      </c>
      <c r="BQ33" s="40" t="str">
        <f t="shared" si="40"/>
        <v>tech6</v>
      </c>
      <c r="BR33" s="27">
        <f t="shared" ca="1" si="41"/>
        <v>24.71</v>
      </c>
      <c r="BS33" s="27">
        <f t="shared" ca="1" si="42"/>
        <v>21.82</v>
      </c>
      <c r="BT33" s="27" t="e">
        <f t="shared" ca="1" si="43"/>
        <v>#VALUE!</v>
      </c>
      <c r="BU33" s="27">
        <f t="shared" ca="1" si="44"/>
        <v>12.74</v>
      </c>
      <c r="BV33" s="27">
        <f t="shared" ca="1" si="45"/>
        <v>10.76</v>
      </c>
      <c r="BW33" s="27">
        <f t="shared" ca="1" si="46"/>
        <v>12.024999999999999</v>
      </c>
      <c r="BX33" s="27">
        <f t="shared" ca="1" si="47"/>
        <v>15.200000000000001</v>
      </c>
      <c r="BY33" s="27">
        <f t="shared" ca="1" si="48"/>
        <v>9.3399999999999981</v>
      </c>
      <c r="BZ33" s="45">
        <f t="shared" ca="1" si="49"/>
        <v>15.360000000000001</v>
      </c>
      <c r="CC33" s="53" t="str">
        <f t="shared" si="50"/>
        <v>gr1</v>
      </c>
      <c r="CD33" s="54" t="str">
        <f t="shared" si="51"/>
        <v>1bios2</v>
      </c>
      <c r="CE33" s="54" t="str">
        <f t="shared" si="52"/>
        <v>tech6</v>
      </c>
      <c r="CF33" s="27">
        <f t="shared" ca="1" si="53"/>
        <v>0.5</v>
      </c>
      <c r="CG33" s="27">
        <f t="shared" ca="1" si="54"/>
        <v>0.5</v>
      </c>
      <c r="CH33" s="27" t="e">
        <f t="shared" ca="1" si="55"/>
        <v>#VALUE!</v>
      </c>
      <c r="CI33" s="27">
        <f t="shared" ca="1" si="56"/>
        <v>0.5</v>
      </c>
      <c r="CJ33" s="27">
        <f t="shared" ca="1" si="57"/>
        <v>0.5</v>
      </c>
      <c r="CK33" s="27">
        <f t="shared" ca="1" si="21"/>
        <v>0.5</v>
      </c>
      <c r="CL33" s="27">
        <f t="shared" ca="1" si="58"/>
        <v>0.5</v>
      </c>
      <c r="CM33" s="27">
        <f t="shared" ca="1" si="59"/>
        <v>0.5</v>
      </c>
      <c r="CN33" s="45">
        <f t="shared" ca="1" si="60"/>
        <v>0.5</v>
      </c>
    </row>
    <row r="34" spans="3:92" x14ac:dyDescent="0.25">
      <c r="C34" t="str">
        <f t="shared" si="22"/>
        <v>gr1</v>
      </c>
      <c r="D34" t="s">
        <v>104</v>
      </c>
      <c r="E34" t="s">
        <v>37</v>
      </c>
      <c r="G34" s="10">
        <f t="shared" si="23"/>
        <v>20</v>
      </c>
      <c r="H34" s="6">
        <f t="shared" ref="H34:H37" si="87">H33</f>
        <v>20</v>
      </c>
      <c r="I34" s="6">
        <f t="shared" ref="I34:I37" si="88">I33</f>
        <v>17</v>
      </c>
      <c r="J34" s="6">
        <f t="shared" ref="J34:J37" si="89">J33</f>
        <v>13</v>
      </c>
      <c r="K34" s="6">
        <f t="shared" ref="K34:K37" si="90">K33</f>
        <v>11</v>
      </c>
      <c r="L34" s="6">
        <f t="shared" ref="L34:L37" si="91">L33</f>
        <v>12</v>
      </c>
      <c r="M34" s="6">
        <f t="shared" ref="M34:M37" si="92">M33</f>
        <v>15.26</v>
      </c>
      <c r="N34" s="6">
        <f t="shared" ref="N34:N37" si="93">N33</f>
        <v>9.1999999999999993</v>
      </c>
      <c r="O34" s="11">
        <f t="shared" ref="O34:O37" si="94">O33</f>
        <v>14.88</v>
      </c>
      <c r="Q34" s="10">
        <f t="shared" ref="Q34" ca="1" si="95">Q33</f>
        <v>0.96</v>
      </c>
      <c r="R34" s="6">
        <f t="shared" ref="R34:Y34" ca="1" si="96">R33</f>
        <v>2</v>
      </c>
      <c r="S34" s="6">
        <f t="shared" ca="1" si="96"/>
        <v>-0.21</v>
      </c>
      <c r="T34" s="6">
        <f t="shared" ca="1" si="96"/>
        <v>-4.0000000000000008E-2</v>
      </c>
      <c r="U34" s="6">
        <f t="shared" ca="1" si="96"/>
        <v>-6.0000000000000005E-2</v>
      </c>
      <c r="V34" s="6">
        <f t="shared" ca="1" si="96"/>
        <v>-4.9999999999999992E-3</v>
      </c>
      <c r="W34" s="6">
        <f t="shared" ca="1" si="96"/>
        <v>-2.0000000000000004E-2</v>
      </c>
      <c r="X34" s="6">
        <f t="shared" ca="1" si="96"/>
        <v>0.12</v>
      </c>
      <c r="Y34" s="11">
        <f t="shared" ca="1" si="96"/>
        <v>0.5</v>
      </c>
      <c r="AA34" s="10">
        <f t="shared" ref="AA34:AI34" ca="1" si="97">RANDBETWEEN(0,AA111)/100-AA111/100/2</f>
        <v>2.0000000000000018E-2</v>
      </c>
      <c r="AB34" s="6">
        <f t="shared" ca="1" si="97"/>
        <v>0.15999999999999998</v>
      </c>
      <c r="AC34" s="6">
        <f t="shared" ca="1" si="97"/>
        <v>-0.14000000000000001</v>
      </c>
      <c r="AD34" s="6">
        <f t="shared" ca="1" si="97"/>
        <v>-0.2</v>
      </c>
      <c r="AE34" s="6">
        <f t="shared" ca="1" si="97"/>
        <v>-7.9999999999999988E-2</v>
      </c>
      <c r="AF34" s="6">
        <f t="shared" ca="1" si="97"/>
        <v>-0.18</v>
      </c>
      <c r="AG34" s="6">
        <f t="shared" ca="1" si="97"/>
        <v>0.12</v>
      </c>
      <c r="AH34" s="6">
        <f t="shared" ca="1" si="97"/>
        <v>-1.0000000000000009E-2</v>
      </c>
      <c r="AI34" s="11">
        <f t="shared" ca="1" si="97"/>
        <v>0.15000000000000002</v>
      </c>
      <c r="AK34" s="10"/>
      <c r="AL34" s="6"/>
      <c r="AM34" s="6"/>
      <c r="AN34" s="6"/>
      <c r="AO34" s="6"/>
      <c r="AP34" s="15">
        <v>2</v>
      </c>
      <c r="AQ34" s="6"/>
      <c r="AR34" s="6"/>
      <c r="AS34" s="11"/>
      <c r="AU34" s="10">
        <f t="shared" ca="1" si="27"/>
        <v>20.98</v>
      </c>
      <c r="AV34" s="6">
        <f t="shared" ca="1" si="28"/>
        <v>22.16</v>
      </c>
      <c r="AW34" s="6">
        <f t="shared" ca="1" si="29"/>
        <v>16.649999999999999</v>
      </c>
      <c r="AX34" s="6">
        <f t="shared" ca="1" si="30"/>
        <v>12.760000000000002</v>
      </c>
      <c r="AY34" s="6">
        <f t="shared" ca="1" si="31"/>
        <v>10.86</v>
      </c>
      <c r="AZ34" s="6">
        <f t="shared" ca="1" si="32"/>
        <v>13.815</v>
      </c>
      <c r="BA34" s="6">
        <f t="shared" ca="1" si="33"/>
        <v>15.36</v>
      </c>
      <c r="BB34" s="6">
        <f t="shared" ca="1" si="34"/>
        <v>9.3099999999999987</v>
      </c>
      <c r="BC34" s="11">
        <f t="shared" ca="1" si="35"/>
        <v>15.530000000000001</v>
      </c>
      <c r="BD34" s="15" t="str">
        <f t="shared" si="36"/>
        <v>gr1</v>
      </c>
      <c r="BE34" s="27">
        <f t="shared" ca="1" si="37"/>
        <v>20.98</v>
      </c>
      <c r="BF34" s="28">
        <f t="shared" ca="1" si="16"/>
        <v>22.16</v>
      </c>
      <c r="BG34" s="28">
        <f t="shared" ca="1" si="16"/>
        <v>16.649999999999999</v>
      </c>
      <c r="BH34" s="28">
        <f t="shared" ca="1" si="16"/>
        <v>12.760000000000002</v>
      </c>
      <c r="BI34" s="28">
        <f t="shared" ca="1" si="16"/>
        <v>10.86</v>
      </c>
      <c r="BJ34" s="28">
        <f t="shared" ca="1" si="16"/>
        <v>13.815</v>
      </c>
      <c r="BK34" s="28">
        <f t="shared" ca="1" si="16"/>
        <v>15.36</v>
      </c>
      <c r="BL34" s="28">
        <f t="shared" ca="1" si="16"/>
        <v>9.3099999999999987</v>
      </c>
      <c r="BM34" s="29">
        <f t="shared" ca="1" si="16"/>
        <v>15.530000000000001</v>
      </c>
      <c r="BO34" s="44" t="str">
        <f t="shared" si="38"/>
        <v>gr1</v>
      </c>
      <c r="BP34" s="40" t="str">
        <f t="shared" si="39"/>
        <v>1bios2</v>
      </c>
      <c r="BQ34" s="40" t="str">
        <f t="shared" si="40"/>
        <v>tech7</v>
      </c>
      <c r="BR34" s="27">
        <f t="shared" ca="1" si="41"/>
        <v>20.98</v>
      </c>
      <c r="BS34" s="27">
        <f t="shared" ca="1" si="42"/>
        <v>22.16</v>
      </c>
      <c r="BT34" s="27">
        <f t="shared" ca="1" si="43"/>
        <v>16.649999999999999</v>
      </c>
      <c r="BU34" s="27">
        <f t="shared" ca="1" si="44"/>
        <v>12.760000000000002</v>
      </c>
      <c r="BV34" s="27">
        <f t="shared" ca="1" si="45"/>
        <v>10.86</v>
      </c>
      <c r="BW34" s="27">
        <f t="shared" ca="1" si="46"/>
        <v>13.815</v>
      </c>
      <c r="BX34" s="27">
        <f t="shared" ca="1" si="47"/>
        <v>15.36</v>
      </c>
      <c r="BY34" s="27">
        <f t="shared" ca="1" si="48"/>
        <v>9.3099999999999987</v>
      </c>
      <c r="BZ34" s="45">
        <f t="shared" ca="1" si="49"/>
        <v>15.530000000000001</v>
      </c>
      <c r="CC34" s="53" t="str">
        <f t="shared" si="50"/>
        <v>gr1</v>
      </c>
      <c r="CD34" s="54" t="str">
        <f t="shared" si="51"/>
        <v>1bios2</v>
      </c>
      <c r="CE34" s="54" t="str">
        <f t="shared" si="52"/>
        <v>tech7</v>
      </c>
      <c r="CF34" s="27">
        <f t="shared" ca="1" si="53"/>
        <v>0.5</v>
      </c>
      <c r="CG34" s="27">
        <f t="shared" ca="1" si="54"/>
        <v>0.5</v>
      </c>
      <c r="CH34" s="27">
        <f t="shared" ca="1" si="55"/>
        <v>0.5</v>
      </c>
      <c r="CI34" s="27">
        <f t="shared" ca="1" si="56"/>
        <v>0.5</v>
      </c>
      <c r="CJ34" s="27">
        <f t="shared" ca="1" si="57"/>
        <v>0.5</v>
      </c>
      <c r="CK34" s="27">
        <f t="shared" ca="1" si="21"/>
        <v>0.5</v>
      </c>
      <c r="CL34" s="27">
        <f t="shared" ca="1" si="58"/>
        <v>0.5</v>
      </c>
      <c r="CM34" s="27">
        <f t="shared" ca="1" si="59"/>
        <v>0.5</v>
      </c>
      <c r="CN34" s="45">
        <f t="shared" ca="1" si="60"/>
        <v>0.5</v>
      </c>
    </row>
    <row r="35" spans="3:92" x14ac:dyDescent="0.25">
      <c r="C35" t="str">
        <f t="shared" si="22"/>
        <v>gr1</v>
      </c>
      <c r="D35" t="s">
        <v>104</v>
      </c>
      <c r="E35" t="s">
        <v>38</v>
      </c>
      <c r="G35" s="12">
        <f t="shared" si="23"/>
        <v>20</v>
      </c>
      <c r="H35" s="13">
        <f t="shared" si="87"/>
        <v>20</v>
      </c>
      <c r="I35" s="13">
        <f t="shared" si="88"/>
        <v>17</v>
      </c>
      <c r="J35" s="13">
        <f t="shared" si="89"/>
        <v>13</v>
      </c>
      <c r="K35" s="13">
        <f t="shared" si="90"/>
        <v>11</v>
      </c>
      <c r="L35" s="13">
        <f t="shared" si="91"/>
        <v>12</v>
      </c>
      <c r="M35" s="13">
        <f t="shared" si="92"/>
        <v>15.26</v>
      </c>
      <c r="N35" s="13">
        <f t="shared" si="93"/>
        <v>9.1999999999999993</v>
      </c>
      <c r="O35" s="14">
        <f t="shared" si="94"/>
        <v>14.88</v>
      </c>
      <c r="Q35" s="12">
        <f t="shared" ref="Q35" ca="1" si="98">Q34</f>
        <v>0.96</v>
      </c>
      <c r="R35" s="13">
        <f t="shared" ref="R35:Y35" ca="1" si="99">R34</f>
        <v>2</v>
      </c>
      <c r="S35" s="13">
        <f t="shared" ca="1" si="99"/>
        <v>-0.21</v>
      </c>
      <c r="T35" s="13">
        <f t="shared" ca="1" si="99"/>
        <v>-4.0000000000000008E-2</v>
      </c>
      <c r="U35" s="13">
        <f t="shared" ca="1" si="99"/>
        <v>-6.0000000000000005E-2</v>
      </c>
      <c r="V35" s="13">
        <f t="shared" ca="1" si="99"/>
        <v>-4.9999999999999992E-3</v>
      </c>
      <c r="W35" s="13">
        <f t="shared" ca="1" si="99"/>
        <v>-2.0000000000000004E-2</v>
      </c>
      <c r="X35" s="13">
        <f t="shared" ca="1" si="99"/>
        <v>0.12</v>
      </c>
      <c r="Y35" s="14">
        <f t="shared" ca="1" si="99"/>
        <v>0.5</v>
      </c>
      <c r="AA35" s="12">
        <f t="shared" ref="AA35:AI35" ca="1" si="100">RANDBETWEEN(0,AA111)/100-AA111/100/2</f>
        <v>-0.14000000000000001</v>
      </c>
      <c r="AB35" s="13">
        <f t="shared" ca="1" si="100"/>
        <v>9.9999999999999978E-2</v>
      </c>
      <c r="AC35" s="13">
        <f t="shared" ca="1" si="100"/>
        <v>0.15999999999999998</v>
      </c>
      <c r="AD35" s="13">
        <f t="shared" ca="1" si="100"/>
        <v>2.0000000000000018E-2</v>
      </c>
      <c r="AE35" s="13">
        <f t="shared" ca="1" si="100"/>
        <v>-0.09</v>
      </c>
      <c r="AF35" s="13">
        <f t="shared" ca="1" si="100"/>
        <v>-0.10999999999999999</v>
      </c>
      <c r="AG35" s="13">
        <f t="shared" ca="1" si="100"/>
        <v>-0.22</v>
      </c>
      <c r="AH35" s="13">
        <f t="shared" ca="1" si="100"/>
        <v>0.12</v>
      </c>
      <c r="AI35" s="14">
        <f t="shared" ca="1" si="100"/>
        <v>0.15999999999999998</v>
      </c>
      <c r="AK35" s="12"/>
      <c r="AL35" s="13"/>
      <c r="AM35" s="13"/>
      <c r="AN35" s="13"/>
      <c r="AO35" s="13"/>
      <c r="AP35" s="13"/>
      <c r="AQ35" s="13"/>
      <c r="AR35" s="13"/>
      <c r="AS35" s="14"/>
      <c r="AU35" s="12">
        <f t="shared" ca="1" si="27"/>
        <v>20.82</v>
      </c>
      <c r="AV35" s="13">
        <f t="shared" ca="1" si="28"/>
        <v>22.1</v>
      </c>
      <c r="AW35" s="13">
        <f t="shared" ca="1" si="29"/>
        <v>16.95</v>
      </c>
      <c r="AX35" s="13">
        <f t="shared" ca="1" si="30"/>
        <v>12.98</v>
      </c>
      <c r="AY35" s="13">
        <f t="shared" ca="1" si="31"/>
        <v>10.85</v>
      </c>
      <c r="AZ35" s="13">
        <f t="shared" ca="1" si="32"/>
        <v>11.885</v>
      </c>
      <c r="BA35" s="13">
        <f t="shared" ca="1" si="33"/>
        <v>15.02</v>
      </c>
      <c r="BB35" s="13">
        <f t="shared" ca="1" si="34"/>
        <v>9.4399999999999977</v>
      </c>
      <c r="BC35" s="14">
        <f t="shared" ca="1" si="35"/>
        <v>15.540000000000001</v>
      </c>
      <c r="BD35" s="15" t="str">
        <f t="shared" si="36"/>
        <v>gr1</v>
      </c>
      <c r="BE35" s="27">
        <f t="shared" ca="1" si="37"/>
        <v>20.82</v>
      </c>
      <c r="BF35" s="28">
        <f t="shared" ca="1" si="16"/>
        <v>22.1</v>
      </c>
      <c r="BG35" s="28">
        <f t="shared" ca="1" si="16"/>
        <v>16.95</v>
      </c>
      <c r="BH35" s="28">
        <f t="shared" ca="1" si="16"/>
        <v>12.98</v>
      </c>
      <c r="BI35" s="28">
        <f t="shared" ca="1" si="16"/>
        <v>10.85</v>
      </c>
      <c r="BJ35" s="28">
        <f t="shared" ca="1" si="16"/>
        <v>11.885</v>
      </c>
      <c r="BK35" s="28">
        <f t="shared" ca="1" si="16"/>
        <v>15.02</v>
      </c>
      <c r="BL35" s="28">
        <f t="shared" ca="1" si="16"/>
        <v>9.4399999999999977</v>
      </c>
      <c r="BM35" s="29">
        <f t="shared" ca="1" si="16"/>
        <v>15.540000000000001</v>
      </c>
      <c r="BO35" s="44" t="str">
        <f t="shared" si="38"/>
        <v>gr1</v>
      </c>
      <c r="BP35" s="40" t="str">
        <f t="shared" si="39"/>
        <v>1bios2</v>
      </c>
      <c r="BQ35" s="40" t="str">
        <f t="shared" si="40"/>
        <v>tech8</v>
      </c>
      <c r="BR35" s="27">
        <f t="shared" ca="1" si="41"/>
        <v>20.82</v>
      </c>
      <c r="BS35" s="27">
        <f t="shared" ca="1" si="42"/>
        <v>22.1</v>
      </c>
      <c r="BT35" s="27">
        <f t="shared" ca="1" si="43"/>
        <v>16.95</v>
      </c>
      <c r="BU35" s="27">
        <f t="shared" ca="1" si="44"/>
        <v>12.98</v>
      </c>
      <c r="BV35" s="27">
        <f t="shared" ca="1" si="45"/>
        <v>10.85</v>
      </c>
      <c r="BW35" s="27">
        <f t="shared" ca="1" si="46"/>
        <v>11.885</v>
      </c>
      <c r="BX35" s="27">
        <f t="shared" ca="1" si="47"/>
        <v>15.02</v>
      </c>
      <c r="BY35" s="27">
        <f t="shared" ca="1" si="48"/>
        <v>9.4399999999999977</v>
      </c>
      <c r="BZ35" s="45">
        <f t="shared" ca="1" si="49"/>
        <v>15.540000000000001</v>
      </c>
      <c r="CC35" s="53" t="str">
        <f t="shared" si="50"/>
        <v>gr1</v>
      </c>
      <c r="CD35" s="54" t="str">
        <f t="shared" si="51"/>
        <v>1bios2</v>
      </c>
      <c r="CE35" s="54" t="str">
        <f t="shared" si="52"/>
        <v>tech8</v>
      </c>
      <c r="CF35" s="27">
        <f t="shared" ca="1" si="53"/>
        <v>0.5</v>
      </c>
      <c r="CG35" s="27">
        <f t="shared" ca="1" si="54"/>
        <v>0.5</v>
      </c>
      <c r="CH35" s="27">
        <f t="shared" ca="1" si="55"/>
        <v>0.5</v>
      </c>
      <c r="CI35" s="27">
        <f t="shared" ca="1" si="56"/>
        <v>0.5</v>
      </c>
      <c r="CJ35" s="27">
        <f t="shared" ca="1" si="57"/>
        <v>0.5</v>
      </c>
      <c r="CK35" s="27">
        <f t="shared" ca="1" si="21"/>
        <v>0.5</v>
      </c>
      <c r="CL35" s="27">
        <f t="shared" ca="1" si="58"/>
        <v>0.5</v>
      </c>
      <c r="CM35" s="27">
        <f t="shared" ca="1" si="59"/>
        <v>0.5</v>
      </c>
      <c r="CN35" s="45">
        <f t="shared" ca="1" si="60"/>
        <v>0.5</v>
      </c>
    </row>
    <row r="36" spans="3:92" x14ac:dyDescent="0.25">
      <c r="C36" t="str">
        <f t="shared" si="22"/>
        <v>gr1</v>
      </c>
      <c r="D36" t="s">
        <v>105</v>
      </c>
      <c r="E36" t="s">
        <v>39</v>
      </c>
      <c r="G36" s="7">
        <f t="shared" si="23"/>
        <v>20</v>
      </c>
      <c r="H36" s="8">
        <f t="shared" si="87"/>
        <v>20</v>
      </c>
      <c r="I36" s="8">
        <f t="shared" si="88"/>
        <v>17</v>
      </c>
      <c r="J36" s="8">
        <f t="shared" si="89"/>
        <v>13</v>
      </c>
      <c r="K36" s="8">
        <f t="shared" si="90"/>
        <v>11</v>
      </c>
      <c r="L36" s="8">
        <f t="shared" si="91"/>
        <v>12</v>
      </c>
      <c r="M36" s="8">
        <f t="shared" si="92"/>
        <v>15.26</v>
      </c>
      <c r="N36" s="8">
        <f t="shared" si="93"/>
        <v>9.1999999999999993</v>
      </c>
      <c r="O36" s="9">
        <f t="shared" si="94"/>
        <v>14.88</v>
      </c>
      <c r="Q36" s="7">
        <f t="shared" ref="Q36:Y36" ca="1" si="101">RANDBETWEEN(0,Q111)/100-Q111/100/2</f>
        <v>-3.95</v>
      </c>
      <c r="R36" s="8">
        <f t="shared" ca="1" si="101"/>
        <v>1.2799999999999998</v>
      </c>
      <c r="S36" s="8">
        <f t="shared" ca="1" si="101"/>
        <v>-1.9999999999999962E-2</v>
      </c>
      <c r="T36" s="8">
        <f t="shared" ca="1" si="101"/>
        <v>0.14999999999999997</v>
      </c>
      <c r="U36" s="8">
        <f t="shared" ca="1" si="101"/>
        <v>0.09</v>
      </c>
      <c r="V36" s="8">
        <f t="shared" ca="1" si="101"/>
        <v>5.000000000000001E-3</v>
      </c>
      <c r="W36" s="8">
        <f t="shared" ca="1" si="101"/>
        <v>-1.0000000000000002E-2</v>
      </c>
      <c r="X36" s="8">
        <f t="shared" ca="1" si="101"/>
        <v>8.9999999999999969E-2</v>
      </c>
      <c r="Y36" s="9">
        <f t="shared" ca="1" si="101"/>
        <v>0.18999999999999995</v>
      </c>
      <c r="AA36" s="7">
        <f t="shared" ref="AA36:AI36" ca="1" si="102">RANDBETWEEN(0,AA111)/100-AA111/100/2</f>
        <v>-0.23</v>
      </c>
      <c r="AB36" s="8">
        <f t="shared" ca="1" si="102"/>
        <v>-0.1</v>
      </c>
      <c r="AC36" s="8">
        <f t="shared" ca="1" si="102"/>
        <v>-0.22</v>
      </c>
      <c r="AD36" s="8">
        <f t="shared" ca="1" si="102"/>
        <v>0.21000000000000002</v>
      </c>
      <c r="AE36" s="8">
        <f t="shared" ca="1" si="102"/>
        <v>-4.9999999999999989E-2</v>
      </c>
      <c r="AF36" s="8">
        <f t="shared" ca="1" si="102"/>
        <v>1.0000000000000009E-2</v>
      </c>
      <c r="AG36" s="8">
        <f t="shared" ca="1" si="102"/>
        <v>0.18</v>
      </c>
      <c r="AH36" s="8">
        <f t="shared" ca="1" si="102"/>
        <v>0.19</v>
      </c>
      <c r="AI36" s="9">
        <f t="shared" ca="1" si="102"/>
        <v>2.0000000000000018E-2</v>
      </c>
      <c r="AK36" s="7"/>
      <c r="AL36" s="8"/>
      <c r="AM36" s="8"/>
      <c r="AN36" s="8"/>
      <c r="AO36" s="8"/>
      <c r="AP36" s="8"/>
      <c r="AQ36" s="8"/>
      <c r="AR36" s="8" t="s">
        <v>18</v>
      </c>
      <c r="AS36" s="9"/>
      <c r="AU36" s="10">
        <f t="shared" ca="1" si="27"/>
        <v>15.82</v>
      </c>
      <c r="AV36" s="6">
        <f t="shared" ca="1" si="28"/>
        <v>21.18</v>
      </c>
      <c r="AW36" s="6">
        <f t="shared" ca="1" si="29"/>
        <v>16.760000000000002</v>
      </c>
      <c r="AX36" s="6">
        <f t="shared" ca="1" si="30"/>
        <v>13.360000000000001</v>
      </c>
      <c r="AY36" s="6">
        <f t="shared" ca="1" si="31"/>
        <v>11.04</v>
      </c>
      <c r="AZ36" s="6">
        <f t="shared" ca="1" si="32"/>
        <v>12.015000000000001</v>
      </c>
      <c r="BA36" s="6">
        <f t="shared" ca="1" si="33"/>
        <v>15.43</v>
      </c>
      <c r="BB36" s="6" t="e">
        <f t="shared" ca="1" si="34"/>
        <v>#VALUE!</v>
      </c>
      <c r="BC36" s="11">
        <f t="shared" ca="1" si="35"/>
        <v>15.09</v>
      </c>
      <c r="BD36" s="15" t="str">
        <f t="shared" si="36"/>
        <v>gr1</v>
      </c>
      <c r="BE36" s="24">
        <f t="shared" ca="1" si="37"/>
        <v>15.82</v>
      </c>
      <c r="BF36" s="25">
        <f t="shared" ca="1" si="16"/>
        <v>21.18</v>
      </c>
      <c r="BG36" s="25">
        <f t="shared" ca="1" si="16"/>
        <v>16.760000000000002</v>
      </c>
      <c r="BH36" s="25">
        <f t="shared" ca="1" si="16"/>
        <v>13.360000000000001</v>
      </c>
      <c r="BI36" s="25">
        <f t="shared" ca="1" si="16"/>
        <v>11.04</v>
      </c>
      <c r="BJ36" s="25">
        <f t="shared" ca="1" si="16"/>
        <v>12.015000000000001</v>
      </c>
      <c r="BK36" s="25">
        <f t="shared" ca="1" si="16"/>
        <v>15.43</v>
      </c>
      <c r="BL36" s="25" t="e">
        <f t="shared" ca="1" si="16"/>
        <v>#VALUE!</v>
      </c>
      <c r="BM36" s="26">
        <f t="shared" ca="1" si="16"/>
        <v>15.09</v>
      </c>
      <c r="BO36" s="44" t="str">
        <f t="shared" si="38"/>
        <v>gr1</v>
      </c>
      <c r="BP36" s="40" t="str">
        <f t="shared" si="39"/>
        <v>1bios3</v>
      </c>
      <c r="BQ36" s="40" t="str">
        <f t="shared" si="40"/>
        <v>tech9</v>
      </c>
      <c r="BR36" s="27">
        <f t="shared" ca="1" si="41"/>
        <v>15.82</v>
      </c>
      <c r="BS36" s="27">
        <f t="shared" ca="1" si="42"/>
        <v>21.18</v>
      </c>
      <c r="BT36" s="27">
        <f t="shared" ca="1" si="43"/>
        <v>16.760000000000002</v>
      </c>
      <c r="BU36" s="27">
        <f t="shared" ca="1" si="44"/>
        <v>13.360000000000001</v>
      </c>
      <c r="BV36" s="27">
        <f t="shared" ca="1" si="45"/>
        <v>11.04</v>
      </c>
      <c r="BW36" s="27">
        <f t="shared" ca="1" si="46"/>
        <v>12.015000000000001</v>
      </c>
      <c r="BX36" s="27">
        <f t="shared" ca="1" si="47"/>
        <v>15.43</v>
      </c>
      <c r="BY36" s="27" t="e">
        <f t="shared" ca="1" si="48"/>
        <v>#VALUE!</v>
      </c>
      <c r="BZ36" s="45">
        <f t="shared" ca="1" si="49"/>
        <v>15.09</v>
      </c>
      <c r="CC36" s="53" t="str">
        <f t="shared" si="50"/>
        <v>gr1</v>
      </c>
      <c r="CD36" s="54" t="str">
        <f t="shared" si="51"/>
        <v>1bios3</v>
      </c>
      <c r="CE36" s="54" t="str">
        <f t="shared" si="52"/>
        <v>tech9</v>
      </c>
      <c r="CF36" s="27">
        <f t="shared" ca="1" si="53"/>
        <v>0.5</v>
      </c>
      <c r="CG36" s="27">
        <f t="shared" ca="1" si="54"/>
        <v>0.5</v>
      </c>
      <c r="CH36" s="27">
        <f t="shared" ca="1" si="55"/>
        <v>0.5</v>
      </c>
      <c r="CI36" s="27">
        <f t="shared" ca="1" si="56"/>
        <v>0.5</v>
      </c>
      <c r="CJ36" s="27">
        <f t="shared" ca="1" si="57"/>
        <v>0.5</v>
      </c>
      <c r="CK36" s="27">
        <f t="shared" ca="1" si="21"/>
        <v>0.5</v>
      </c>
      <c r="CL36" s="27">
        <f t="shared" ca="1" si="58"/>
        <v>0.5</v>
      </c>
      <c r="CM36" s="27" t="e">
        <f t="shared" ca="1" si="59"/>
        <v>#VALUE!</v>
      </c>
      <c r="CN36" s="45">
        <f t="shared" ca="1" si="60"/>
        <v>0.5</v>
      </c>
    </row>
    <row r="37" spans="3:92" x14ac:dyDescent="0.25">
      <c r="C37" t="str">
        <f t="shared" si="22"/>
        <v>gr1</v>
      </c>
      <c r="D37" t="s">
        <v>105</v>
      </c>
      <c r="E37" t="s">
        <v>40</v>
      </c>
      <c r="G37" s="10">
        <f t="shared" si="23"/>
        <v>20</v>
      </c>
      <c r="H37" s="6">
        <f t="shared" si="87"/>
        <v>20</v>
      </c>
      <c r="I37" s="6">
        <f t="shared" si="88"/>
        <v>17</v>
      </c>
      <c r="J37" s="6">
        <f t="shared" si="89"/>
        <v>13</v>
      </c>
      <c r="K37" s="6">
        <f t="shared" si="90"/>
        <v>11</v>
      </c>
      <c r="L37" s="6">
        <f t="shared" si="91"/>
        <v>12</v>
      </c>
      <c r="M37" s="6">
        <f t="shared" si="92"/>
        <v>15.26</v>
      </c>
      <c r="N37" s="6">
        <f t="shared" si="93"/>
        <v>9.1999999999999993</v>
      </c>
      <c r="O37" s="11">
        <f t="shared" si="94"/>
        <v>14.88</v>
      </c>
      <c r="Q37" s="10">
        <f t="shared" ref="Q37:Y37" ca="1" si="103">Q36</f>
        <v>-3.95</v>
      </c>
      <c r="R37" s="6">
        <f t="shared" ca="1" si="103"/>
        <v>1.2799999999999998</v>
      </c>
      <c r="S37" s="6">
        <f t="shared" ca="1" si="103"/>
        <v>-1.9999999999999962E-2</v>
      </c>
      <c r="T37" s="6">
        <f t="shared" ca="1" si="103"/>
        <v>0.14999999999999997</v>
      </c>
      <c r="U37" s="6">
        <f t="shared" ca="1" si="103"/>
        <v>0.09</v>
      </c>
      <c r="V37" s="6">
        <f t="shared" ca="1" si="103"/>
        <v>5.000000000000001E-3</v>
      </c>
      <c r="W37" s="6">
        <f t="shared" ca="1" si="103"/>
        <v>-1.0000000000000002E-2</v>
      </c>
      <c r="X37" s="6">
        <f t="shared" ca="1" si="103"/>
        <v>8.9999999999999969E-2</v>
      </c>
      <c r="Y37" s="11">
        <f t="shared" ca="1" si="103"/>
        <v>0.18999999999999995</v>
      </c>
      <c r="AA37" s="10">
        <f t="shared" ref="AA37:AI37" ca="1" si="104">RANDBETWEEN(0,AA111)/100-AA111/100/2</f>
        <v>0.21999999999999997</v>
      </c>
      <c r="AB37" s="6">
        <f t="shared" ca="1" si="104"/>
        <v>-0.16999999999999998</v>
      </c>
      <c r="AC37" s="6">
        <f t="shared" ca="1" si="104"/>
        <v>0.06</v>
      </c>
      <c r="AD37" s="6">
        <f t="shared" ca="1" si="104"/>
        <v>3.999999999999998E-2</v>
      </c>
      <c r="AE37" s="6">
        <f t="shared" ca="1" si="104"/>
        <v>0.18</v>
      </c>
      <c r="AF37" s="6">
        <f t="shared" ca="1" si="104"/>
        <v>0.16999999999999998</v>
      </c>
      <c r="AG37" s="6">
        <f t="shared" ca="1" si="104"/>
        <v>8.0000000000000016E-2</v>
      </c>
      <c r="AH37" s="6">
        <f t="shared" ca="1" si="104"/>
        <v>-4.0000000000000008E-2</v>
      </c>
      <c r="AI37" s="11">
        <f t="shared" ca="1" si="104"/>
        <v>-0.23</v>
      </c>
      <c r="AK37" s="10"/>
      <c r="AL37" s="6"/>
      <c r="AM37" s="6">
        <v>25</v>
      </c>
      <c r="AN37" s="6"/>
      <c r="AO37" s="6" t="s">
        <v>18</v>
      </c>
      <c r="AP37" s="6"/>
      <c r="AQ37" s="6"/>
      <c r="AR37" s="6" t="s">
        <v>18</v>
      </c>
      <c r="AS37" s="11"/>
      <c r="AU37" s="10">
        <f t="shared" ca="1" si="27"/>
        <v>16.27</v>
      </c>
      <c r="AV37" s="6">
        <f t="shared" ca="1" si="28"/>
        <v>21.11</v>
      </c>
      <c r="AW37" s="6">
        <f t="shared" ca="1" si="29"/>
        <v>42.04</v>
      </c>
      <c r="AX37" s="6">
        <f t="shared" ca="1" si="30"/>
        <v>13.19</v>
      </c>
      <c r="AY37" s="6" t="e">
        <f t="shared" ca="1" si="31"/>
        <v>#VALUE!</v>
      </c>
      <c r="AZ37" s="6">
        <f t="shared" ca="1" si="32"/>
        <v>12.175000000000001</v>
      </c>
      <c r="BA37" s="6">
        <f t="shared" ca="1" si="33"/>
        <v>15.33</v>
      </c>
      <c r="BB37" s="6" t="e">
        <f t="shared" ca="1" si="34"/>
        <v>#VALUE!</v>
      </c>
      <c r="BC37" s="11">
        <f t="shared" ca="1" si="35"/>
        <v>14.84</v>
      </c>
      <c r="BD37" s="15" t="str">
        <f t="shared" si="36"/>
        <v>gr1</v>
      </c>
      <c r="BE37" s="27">
        <f t="shared" ca="1" si="37"/>
        <v>16.27</v>
      </c>
      <c r="BF37" s="28">
        <f t="shared" ca="1" si="16"/>
        <v>21.11</v>
      </c>
      <c r="BG37" s="28" t="str">
        <f t="shared" ca="1" si="16"/>
        <v>high</v>
      </c>
      <c r="BH37" s="28">
        <f t="shared" ca="1" si="16"/>
        <v>13.19</v>
      </c>
      <c r="BI37" s="28" t="e">
        <f t="shared" ca="1" si="16"/>
        <v>#VALUE!</v>
      </c>
      <c r="BJ37" s="28">
        <f t="shared" ca="1" si="16"/>
        <v>12.175000000000001</v>
      </c>
      <c r="BK37" s="28">
        <f t="shared" ca="1" si="16"/>
        <v>15.33</v>
      </c>
      <c r="BL37" s="28" t="e">
        <f t="shared" ca="1" si="16"/>
        <v>#VALUE!</v>
      </c>
      <c r="BM37" s="29">
        <f t="shared" ca="1" si="16"/>
        <v>14.84</v>
      </c>
      <c r="BO37" s="44" t="str">
        <f t="shared" si="38"/>
        <v>gr1</v>
      </c>
      <c r="BP37" s="40" t="str">
        <f t="shared" si="39"/>
        <v>1bios3</v>
      </c>
      <c r="BQ37" s="40" t="str">
        <f t="shared" si="40"/>
        <v>tech10</v>
      </c>
      <c r="BR37" s="27">
        <f t="shared" ca="1" si="41"/>
        <v>16.27</v>
      </c>
      <c r="BS37" s="27">
        <f t="shared" ca="1" si="42"/>
        <v>21.11</v>
      </c>
      <c r="BT37" s="27">
        <f t="shared" ca="1" si="43"/>
        <v>47</v>
      </c>
      <c r="BU37" s="27">
        <f t="shared" ca="1" si="44"/>
        <v>13.19</v>
      </c>
      <c r="BV37" s="27" t="e">
        <f t="shared" ca="1" si="45"/>
        <v>#VALUE!</v>
      </c>
      <c r="BW37" s="27">
        <f t="shared" ca="1" si="46"/>
        <v>12.175000000000001</v>
      </c>
      <c r="BX37" s="27">
        <f t="shared" ca="1" si="47"/>
        <v>15.33</v>
      </c>
      <c r="BY37" s="27" t="e">
        <f t="shared" ca="1" si="48"/>
        <v>#VALUE!</v>
      </c>
      <c r="BZ37" s="45">
        <f t="shared" ca="1" si="49"/>
        <v>14.84</v>
      </c>
      <c r="CC37" s="53" t="str">
        <f t="shared" si="50"/>
        <v>gr1</v>
      </c>
      <c r="CD37" s="54" t="str">
        <f t="shared" si="51"/>
        <v>1bios3</v>
      </c>
      <c r="CE37" s="54" t="str">
        <f t="shared" si="52"/>
        <v>tech10</v>
      </c>
      <c r="CF37" s="27">
        <f t="shared" ca="1" si="53"/>
        <v>0.5</v>
      </c>
      <c r="CG37" s="27">
        <f t="shared" ca="1" si="54"/>
        <v>0.5</v>
      </c>
      <c r="CH37" s="27">
        <f t="shared" ca="1" si="55"/>
        <v>5</v>
      </c>
      <c r="CI37" s="27">
        <f t="shared" ca="1" si="56"/>
        <v>0.5</v>
      </c>
      <c r="CJ37" s="27" t="e">
        <f t="shared" ca="1" si="57"/>
        <v>#VALUE!</v>
      </c>
      <c r="CK37" s="27">
        <f t="shared" ca="1" si="21"/>
        <v>0.5</v>
      </c>
      <c r="CL37" s="27">
        <f t="shared" ca="1" si="58"/>
        <v>0.5</v>
      </c>
      <c r="CM37" s="27" t="e">
        <f t="shared" ca="1" si="59"/>
        <v>#VALUE!</v>
      </c>
      <c r="CN37" s="45">
        <f t="shared" ca="1" si="60"/>
        <v>0.5</v>
      </c>
    </row>
    <row r="38" spans="3:92" x14ac:dyDescent="0.25">
      <c r="C38" t="str">
        <f t="shared" si="22"/>
        <v>gr1</v>
      </c>
      <c r="D38" t="s">
        <v>105</v>
      </c>
      <c r="E38" t="s">
        <v>41</v>
      </c>
      <c r="G38" s="10">
        <f t="shared" si="23"/>
        <v>20</v>
      </c>
      <c r="H38" s="6">
        <f t="shared" ref="H38:H39" si="105">H37</f>
        <v>20</v>
      </c>
      <c r="I38" s="6">
        <f t="shared" ref="I38:I39" si="106">I37</f>
        <v>17</v>
      </c>
      <c r="J38" s="6">
        <f t="shared" ref="J38:J39" si="107">J37</f>
        <v>13</v>
      </c>
      <c r="K38" s="6">
        <f t="shared" ref="K38:K39" si="108">K37</f>
        <v>11</v>
      </c>
      <c r="L38" s="6">
        <f t="shared" ref="L38:L39" si="109">L37</f>
        <v>12</v>
      </c>
      <c r="M38" s="6">
        <f t="shared" ref="M38:M39" si="110">M37</f>
        <v>15.26</v>
      </c>
      <c r="N38" s="6">
        <f t="shared" ref="N38:N39" si="111">N37</f>
        <v>9.1999999999999993</v>
      </c>
      <c r="O38" s="11">
        <f t="shared" ref="O38:O39" si="112">O37</f>
        <v>14.88</v>
      </c>
      <c r="Q38" s="10">
        <f t="shared" ref="Q38" ca="1" si="113">Q37</f>
        <v>-3.95</v>
      </c>
      <c r="R38" s="6">
        <f t="shared" ref="R38:Y38" ca="1" si="114">R37</f>
        <v>1.2799999999999998</v>
      </c>
      <c r="S38" s="6">
        <f t="shared" ca="1" si="114"/>
        <v>-1.9999999999999962E-2</v>
      </c>
      <c r="T38" s="6">
        <f t="shared" ca="1" si="114"/>
        <v>0.14999999999999997</v>
      </c>
      <c r="U38" s="6">
        <f t="shared" ca="1" si="114"/>
        <v>0.09</v>
      </c>
      <c r="V38" s="6">
        <f t="shared" ca="1" si="114"/>
        <v>5.000000000000001E-3</v>
      </c>
      <c r="W38" s="6">
        <f t="shared" ca="1" si="114"/>
        <v>-1.0000000000000002E-2</v>
      </c>
      <c r="X38" s="6">
        <f t="shared" ca="1" si="114"/>
        <v>8.9999999999999969E-2</v>
      </c>
      <c r="Y38" s="11">
        <f t="shared" ca="1" si="114"/>
        <v>0.18999999999999995</v>
      </c>
      <c r="AA38" s="10">
        <f t="shared" ref="AA38:AI38" ca="1" si="115">RANDBETWEEN(0,AA111)/100-AA111/100/2</f>
        <v>0.15999999999999998</v>
      </c>
      <c r="AB38" s="6">
        <f t="shared" ca="1" si="115"/>
        <v>-0.23</v>
      </c>
      <c r="AC38" s="6">
        <f t="shared" ca="1" si="115"/>
        <v>-0.23</v>
      </c>
      <c r="AD38" s="6">
        <f t="shared" ca="1" si="115"/>
        <v>0.15999999999999998</v>
      </c>
      <c r="AE38" s="6">
        <f t="shared" ca="1" si="115"/>
        <v>7.0000000000000007E-2</v>
      </c>
      <c r="AF38" s="6">
        <f t="shared" ca="1" si="115"/>
        <v>3.0000000000000027E-2</v>
      </c>
      <c r="AG38" s="6">
        <f t="shared" ca="1" si="115"/>
        <v>-0.12</v>
      </c>
      <c r="AH38" s="6">
        <f t="shared" ca="1" si="115"/>
        <v>0.16999999999999998</v>
      </c>
      <c r="AI38" s="11">
        <f t="shared" ca="1" si="115"/>
        <v>4.9999999999999989E-2</v>
      </c>
      <c r="AK38" s="10"/>
      <c r="AL38" s="6"/>
      <c r="AM38" s="6"/>
      <c r="AN38" s="6"/>
      <c r="AO38" s="6"/>
      <c r="AP38" s="6"/>
      <c r="AQ38" s="6"/>
      <c r="AR38" s="6" t="s">
        <v>18</v>
      </c>
      <c r="AS38" s="11"/>
      <c r="AU38" s="10">
        <f t="shared" ca="1" si="27"/>
        <v>16.21</v>
      </c>
      <c r="AV38" s="6">
        <f t="shared" ca="1" si="28"/>
        <v>21.05</v>
      </c>
      <c r="AW38" s="6">
        <f t="shared" ca="1" si="29"/>
        <v>16.75</v>
      </c>
      <c r="AX38" s="6">
        <f t="shared" ca="1" si="30"/>
        <v>13.31</v>
      </c>
      <c r="AY38" s="6">
        <f t="shared" ca="1" si="31"/>
        <v>11.16</v>
      </c>
      <c r="AZ38" s="6">
        <f t="shared" ca="1" si="32"/>
        <v>12.035</v>
      </c>
      <c r="BA38" s="6">
        <f t="shared" ca="1" si="33"/>
        <v>15.13</v>
      </c>
      <c r="BB38" s="6" t="e">
        <f t="shared" ca="1" si="34"/>
        <v>#VALUE!</v>
      </c>
      <c r="BC38" s="11">
        <f t="shared" ca="1" si="35"/>
        <v>15.120000000000001</v>
      </c>
      <c r="BD38" s="15" t="str">
        <f t="shared" si="36"/>
        <v>gr1</v>
      </c>
      <c r="BE38" s="27">
        <f t="shared" ca="1" si="37"/>
        <v>16.21</v>
      </c>
      <c r="BF38" s="28">
        <f t="shared" ca="1" si="16"/>
        <v>21.05</v>
      </c>
      <c r="BG38" s="28">
        <f t="shared" ca="1" si="16"/>
        <v>16.75</v>
      </c>
      <c r="BH38" s="28">
        <f t="shared" ca="1" si="16"/>
        <v>13.31</v>
      </c>
      <c r="BI38" s="28">
        <f t="shared" ca="1" si="16"/>
        <v>11.16</v>
      </c>
      <c r="BJ38" s="28">
        <f t="shared" ca="1" si="16"/>
        <v>12.035</v>
      </c>
      <c r="BK38" s="28">
        <f t="shared" ca="1" si="16"/>
        <v>15.13</v>
      </c>
      <c r="BL38" s="28" t="e">
        <f t="shared" ca="1" si="16"/>
        <v>#VALUE!</v>
      </c>
      <c r="BM38" s="29">
        <f t="shared" ca="1" si="16"/>
        <v>15.120000000000001</v>
      </c>
      <c r="BO38" s="44" t="str">
        <f t="shared" si="38"/>
        <v>gr1</v>
      </c>
      <c r="BP38" s="40" t="str">
        <f t="shared" si="39"/>
        <v>1bios3</v>
      </c>
      <c r="BQ38" s="40" t="str">
        <f t="shared" si="40"/>
        <v>tech11</v>
      </c>
      <c r="BR38" s="27">
        <f t="shared" ca="1" si="41"/>
        <v>16.21</v>
      </c>
      <c r="BS38" s="27">
        <f t="shared" ca="1" si="42"/>
        <v>21.05</v>
      </c>
      <c r="BT38" s="27">
        <f t="shared" ca="1" si="43"/>
        <v>16.75</v>
      </c>
      <c r="BU38" s="27">
        <f t="shared" ca="1" si="44"/>
        <v>13.31</v>
      </c>
      <c r="BV38" s="27">
        <f t="shared" ca="1" si="45"/>
        <v>11.16</v>
      </c>
      <c r="BW38" s="27">
        <f t="shared" ca="1" si="46"/>
        <v>12.035</v>
      </c>
      <c r="BX38" s="27">
        <f t="shared" ca="1" si="47"/>
        <v>15.13</v>
      </c>
      <c r="BY38" s="27" t="e">
        <f t="shared" ca="1" si="48"/>
        <v>#VALUE!</v>
      </c>
      <c r="BZ38" s="45">
        <f t="shared" ca="1" si="49"/>
        <v>15.120000000000001</v>
      </c>
      <c r="CC38" s="53" t="str">
        <f t="shared" si="50"/>
        <v>gr1</v>
      </c>
      <c r="CD38" s="54" t="str">
        <f t="shared" si="51"/>
        <v>1bios3</v>
      </c>
      <c r="CE38" s="54" t="str">
        <f t="shared" si="52"/>
        <v>tech11</v>
      </c>
      <c r="CF38" s="27">
        <f t="shared" ca="1" si="53"/>
        <v>0.5</v>
      </c>
      <c r="CG38" s="27">
        <f t="shared" ca="1" si="54"/>
        <v>0.5</v>
      </c>
      <c r="CH38" s="27">
        <f t="shared" ca="1" si="55"/>
        <v>0.5</v>
      </c>
      <c r="CI38" s="27">
        <f t="shared" ca="1" si="56"/>
        <v>0.5</v>
      </c>
      <c r="CJ38" s="27">
        <f t="shared" ca="1" si="57"/>
        <v>0.5</v>
      </c>
      <c r="CK38" s="27">
        <f t="shared" ca="1" si="21"/>
        <v>0.5</v>
      </c>
      <c r="CL38" s="27">
        <f t="shared" ca="1" si="58"/>
        <v>0.5</v>
      </c>
      <c r="CM38" s="27" t="e">
        <f t="shared" ca="1" si="59"/>
        <v>#VALUE!</v>
      </c>
      <c r="CN38" s="45">
        <f t="shared" ca="1" si="60"/>
        <v>0.5</v>
      </c>
    </row>
    <row r="39" spans="3:92" x14ac:dyDescent="0.25">
      <c r="C39" t="str">
        <f t="shared" si="22"/>
        <v>gr1</v>
      </c>
      <c r="D39" t="s">
        <v>105</v>
      </c>
      <c r="E39" t="s">
        <v>42</v>
      </c>
      <c r="G39" s="12">
        <f t="shared" si="23"/>
        <v>20</v>
      </c>
      <c r="H39" s="13">
        <f t="shared" si="105"/>
        <v>20</v>
      </c>
      <c r="I39" s="13">
        <f t="shared" si="106"/>
        <v>17</v>
      </c>
      <c r="J39" s="13">
        <f t="shared" si="107"/>
        <v>13</v>
      </c>
      <c r="K39" s="13">
        <f t="shared" si="108"/>
        <v>11</v>
      </c>
      <c r="L39" s="13">
        <f t="shared" si="109"/>
        <v>12</v>
      </c>
      <c r="M39" s="13">
        <f t="shared" si="110"/>
        <v>15.26</v>
      </c>
      <c r="N39" s="13">
        <f t="shared" si="111"/>
        <v>9.1999999999999993</v>
      </c>
      <c r="O39" s="14">
        <f t="shared" si="112"/>
        <v>14.88</v>
      </c>
      <c r="Q39" s="12">
        <f t="shared" ref="Q39" ca="1" si="116">Q38</f>
        <v>-3.95</v>
      </c>
      <c r="R39" s="13">
        <f t="shared" ref="R39:Y39" ca="1" si="117">R38</f>
        <v>1.2799999999999998</v>
      </c>
      <c r="S39" s="13">
        <f t="shared" ca="1" si="117"/>
        <v>-1.9999999999999962E-2</v>
      </c>
      <c r="T39" s="13">
        <f t="shared" ca="1" si="117"/>
        <v>0.14999999999999997</v>
      </c>
      <c r="U39" s="13">
        <f t="shared" ca="1" si="117"/>
        <v>0.09</v>
      </c>
      <c r="V39" s="13">
        <f t="shared" ca="1" si="117"/>
        <v>5.000000000000001E-3</v>
      </c>
      <c r="W39" s="13">
        <f t="shared" ca="1" si="117"/>
        <v>-1.0000000000000002E-2</v>
      </c>
      <c r="X39" s="13">
        <f t="shared" ca="1" si="117"/>
        <v>8.9999999999999969E-2</v>
      </c>
      <c r="Y39" s="14">
        <f t="shared" ca="1" si="117"/>
        <v>0.18999999999999995</v>
      </c>
      <c r="AA39" s="12">
        <f t="shared" ref="AA39:AI39" ca="1" si="118">RANDBETWEEN(0,AA111)/100-AA111/100/2</f>
        <v>0.22999999999999998</v>
      </c>
      <c r="AB39" s="13">
        <f t="shared" ca="1" si="118"/>
        <v>0.10999999999999999</v>
      </c>
      <c r="AC39" s="13">
        <f t="shared" ca="1" si="118"/>
        <v>-1.0000000000000009E-2</v>
      </c>
      <c r="AD39" s="13">
        <f t="shared" ca="1" si="118"/>
        <v>0.14000000000000001</v>
      </c>
      <c r="AE39" s="13">
        <f t="shared" ca="1" si="118"/>
        <v>3.0000000000000027E-2</v>
      </c>
      <c r="AF39" s="13">
        <f t="shared" ca="1" si="118"/>
        <v>-0.13</v>
      </c>
      <c r="AG39" s="13">
        <f t="shared" ca="1" si="118"/>
        <v>-0.2</v>
      </c>
      <c r="AH39" s="13">
        <f t="shared" ca="1" si="118"/>
        <v>3.0000000000000027E-2</v>
      </c>
      <c r="AI39" s="14">
        <f t="shared" ca="1" si="118"/>
        <v>-4.9999999999999989E-2</v>
      </c>
      <c r="AK39" s="12"/>
      <c r="AL39" s="13"/>
      <c r="AM39" s="13"/>
      <c r="AN39" s="13"/>
      <c r="AO39" s="13"/>
      <c r="AP39" s="13"/>
      <c r="AQ39" s="13"/>
      <c r="AR39" s="13" t="s">
        <v>18</v>
      </c>
      <c r="AS39" s="14"/>
      <c r="AU39" s="12">
        <f t="shared" ca="1" si="27"/>
        <v>16.28</v>
      </c>
      <c r="AV39" s="13">
        <f t="shared" ca="1" si="28"/>
        <v>21.39</v>
      </c>
      <c r="AW39" s="13">
        <f t="shared" ca="1" si="29"/>
        <v>16.97</v>
      </c>
      <c r="AX39" s="13">
        <f t="shared" ca="1" si="30"/>
        <v>13.290000000000001</v>
      </c>
      <c r="AY39" s="13">
        <f t="shared" ca="1" si="31"/>
        <v>11.12</v>
      </c>
      <c r="AZ39" s="13">
        <f t="shared" ca="1" si="32"/>
        <v>11.875</v>
      </c>
      <c r="BA39" s="13">
        <f t="shared" ca="1" si="33"/>
        <v>15.05</v>
      </c>
      <c r="BB39" s="13" t="e">
        <f t="shared" ca="1" si="34"/>
        <v>#VALUE!</v>
      </c>
      <c r="BC39" s="14">
        <f t="shared" ca="1" si="35"/>
        <v>15.02</v>
      </c>
      <c r="BD39" s="15" t="str">
        <f t="shared" si="36"/>
        <v>gr1</v>
      </c>
      <c r="BE39" s="30">
        <f t="shared" ca="1" si="37"/>
        <v>16.28</v>
      </c>
      <c r="BF39" s="31">
        <f t="shared" ca="1" si="16"/>
        <v>21.39</v>
      </c>
      <c r="BG39" s="31">
        <f t="shared" ca="1" si="16"/>
        <v>16.97</v>
      </c>
      <c r="BH39" s="31">
        <f t="shared" ca="1" si="16"/>
        <v>13.290000000000001</v>
      </c>
      <c r="BI39" s="31">
        <f t="shared" ca="1" si="16"/>
        <v>11.12</v>
      </c>
      <c r="BJ39" s="31">
        <f t="shared" ca="1" si="16"/>
        <v>11.875</v>
      </c>
      <c r="BK39" s="31">
        <f t="shared" ca="1" si="16"/>
        <v>15.05</v>
      </c>
      <c r="BL39" s="31" t="e">
        <f t="shared" ca="1" si="16"/>
        <v>#VALUE!</v>
      </c>
      <c r="BM39" s="32">
        <f t="shared" ca="1" si="16"/>
        <v>15.02</v>
      </c>
      <c r="BO39" s="44" t="str">
        <f t="shared" si="38"/>
        <v>gr1</v>
      </c>
      <c r="BP39" s="40" t="str">
        <f t="shared" si="39"/>
        <v>1bios3</v>
      </c>
      <c r="BQ39" s="40" t="str">
        <f t="shared" si="40"/>
        <v>tech12</v>
      </c>
      <c r="BR39" s="27">
        <f t="shared" ca="1" si="41"/>
        <v>16.28</v>
      </c>
      <c r="BS39" s="27">
        <f t="shared" ca="1" si="42"/>
        <v>21.39</v>
      </c>
      <c r="BT39" s="27">
        <f t="shared" ca="1" si="43"/>
        <v>16.97</v>
      </c>
      <c r="BU39" s="27">
        <f t="shared" ca="1" si="44"/>
        <v>13.290000000000001</v>
      </c>
      <c r="BV39" s="27">
        <f t="shared" ca="1" si="45"/>
        <v>11.12</v>
      </c>
      <c r="BW39" s="27">
        <f t="shared" ca="1" si="46"/>
        <v>11.875</v>
      </c>
      <c r="BX39" s="27">
        <f t="shared" ca="1" si="47"/>
        <v>15.05</v>
      </c>
      <c r="BY39" s="27" t="e">
        <f t="shared" ca="1" si="48"/>
        <v>#VALUE!</v>
      </c>
      <c r="BZ39" s="45">
        <f t="shared" ca="1" si="49"/>
        <v>15.02</v>
      </c>
      <c r="CC39" s="53" t="str">
        <f t="shared" si="50"/>
        <v>gr1</v>
      </c>
      <c r="CD39" s="54" t="str">
        <f t="shared" si="51"/>
        <v>1bios3</v>
      </c>
      <c r="CE39" s="54" t="str">
        <f t="shared" si="52"/>
        <v>tech12</v>
      </c>
      <c r="CF39" s="27">
        <f t="shared" ca="1" si="53"/>
        <v>0.5</v>
      </c>
      <c r="CG39" s="27">
        <f t="shared" ca="1" si="54"/>
        <v>0.5</v>
      </c>
      <c r="CH39" s="27">
        <f t="shared" ca="1" si="55"/>
        <v>0.5</v>
      </c>
      <c r="CI39" s="27">
        <f t="shared" ca="1" si="56"/>
        <v>0.5</v>
      </c>
      <c r="CJ39" s="27">
        <f t="shared" ca="1" si="57"/>
        <v>0.5</v>
      </c>
      <c r="CK39" s="27">
        <f t="shared" ca="1" si="21"/>
        <v>0.5</v>
      </c>
      <c r="CL39" s="27">
        <f t="shared" ca="1" si="58"/>
        <v>0.5</v>
      </c>
      <c r="CM39" s="27" t="e">
        <f t="shared" ca="1" si="59"/>
        <v>#VALUE!</v>
      </c>
      <c r="CN39" s="45">
        <f t="shared" ca="1" si="60"/>
        <v>0.5</v>
      </c>
    </row>
    <row r="40" spans="3:92" x14ac:dyDescent="0.25">
      <c r="BD40" s="15"/>
      <c r="BO40" s="44"/>
      <c r="BP40" s="40"/>
      <c r="BQ40" s="40"/>
      <c r="BR40" s="27"/>
      <c r="BS40" s="27"/>
      <c r="BT40" s="27"/>
      <c r="BU40" s="27"/>
      <c r="BV40" s="27"/>
      <c r="BW40" s="27"/>
      <c r="BX40" s="27"/>
      <c r="BY40" s="27"/>
      <c r="BZ40" s="45"/>
      <c r="CC40" s="53"/>
      <c r="CD40" s="54"/>
      <c r="CE40" s="54"/>
      <c r="CF40" s="27"/>
      <c r="CG40" s="27"/>
      <c r="CH40" s="27"/>
      <c r="CI40" s="27"/>
      <c r="CJ40" s="27"/>
      <c r="CK40" s="27"/>
      <c r="CL40" s="27"/>
      <c r="CM40" s="27"/>
      <c r="CN40" s="45"/>
    </row>
    <row r="41" spans="3:92" x14ac:dyDescent="0.25">
      <c r="C41" t="str">
        <f>F$8</f>
        <v>gr2</v>
      </c>
      <c r="D41" t="s">
        <v>106</v>
      </c>
      <c r="E41" t="s">
        <v>43</v>
      </c>
      <c r="G41" s="7">
        <f t="shared" ref="G41:O41" si="119">G17</f>
        <v>15</v>
      </c>
      <c r="H41" s="8">
        <f t="shared" si="119"/>
        <v>11</v>
      </c>
      <c r="I41" s="8">
        <f t="shared" si="119"/>
        <v>16</v>
      </c>
      <c r="J41" s="8">
        <f t="shared" si="119"/>
        <v>12.2</v>
      </c>
      <c r="K41" s="8">
        <f t="shared" si="119"/>
        <v>9.8000000000000007</v>
      </c>
      <c r="L41" s="8">
        <f t="shared" si="119"/>
        <v>11.23</v>
      </c>
      <c r="M41" s="8">
        <f t="shared" si="119"/>
        <v>12</v>
      </c>
      <c r="N41" s="8">
        <f t="shared" si="119"/>
        <v>6.3</v>
      </c>
      <c r="O41" s="9">
        <f t="shared" si="119"/>
        <v>6.9</v>
      </c>
      <c r="Q41" s="7">
        <f t="shared" ref="Q41:Y41" ca="1" si="120">RANDBETWEEN(0,Q112)/100-Q112/100/2</f>
        <v>0.18000000000000016</v>
      </c>
      <c r="R41" s="8">
        <f t="shared" ca="1" si="120"/>
        <v>0.94000000000000017</v>
      </c>
      <c r="S41" s="8">
        <f t="shared" ca="1" si="120"/>
        <v>-0.15500000000000003</v>
      </c>
      <c r="T41" s="8">
        <f t="shared" ca="1" si="120"/>
        <v>7.9999999999999988E-2</v>
      </c>
      <c r="U41" s="8">
        <f t="shared" ca="1" si="120"/>
        <v>7.5000000000000011E-2</v>
      </c>
      <c r="V41" s="8">
        <f t="shared" ca="1" si="120"/>
        <v>-8.4999999999999992E-2</v>
      </c>
      <c r="W41" s="8">
        <f t="shared" ca="1" si="120"/>
        <v>-0.1</v>
      </c>
      <c r="X41" s="8">
        <f t="shared" ca="1" si="120"/>
        <v>0.06</v>
      </c>
      <c r="Y41" s="9">
        <f t="shared" ca="1" si="120"/>
        <v>0.1</v>
      </c>
      <c r="Z41" s="10"/>
      <c r="AA41" s="7">
        <f t="shared" ref="AA41:AI41" ca="1" si="121">RANDBETWEEN(0,AA112)/100-AA112/100/2</f>
        <v>-1.0000000000000009E-2</v>
      </c>
      <c r="AB41" s="8">
        <f t="shared" ca="1" si="121"/>
        <v>0.18</v>
      </c>
      <c r="AC41" s="8">
        <f t="shared" ca="1" si="121"/>
        <v>0</v>
      </c>
      <c r="AD41" s="8">
        <f t="shared" ca="1" si="121"/>
        <v>0.21000000000000002</v>
      </c>
      <c r="AE41" s="8">
        <f t="shared" ca="1" si="121"/>
        <v>-0.21</v>
      </c>
      <c r="AF41" s="8">
        <f t="shared" ca="1" si="121"/>
        <v>-0.12</v>
      </c>
      <c r="AG41" s="8">
        <f t="shared" ca="1" si="121"/>
        <v>4.9999999999999989E-2</v>
      </c>
      <c r="AH41" s="8">
        <f t="shared" ca="1" si="121"/>
        <v>-0.24</v>
      </c>
      <c r="AI41" s="9">
        <f t="shared" ca="1" si="121"/>
        <v>0.21999999999999997</v>
      </c>
      <c r="AK41" s="7"/>
      <c r="AL41" s="8"/>
      <c r="AM41" s="8" t="s">
        <v>18</v>
      </c>
      <c r="AN41" s="8"/>
      <c r="AO41" s="8"/>
      <c r="AP41" s="8"/>
      <c r="AQ41" s="8"/>
      <c r="AR41" s="8"/>
      <c r="AS41" s="9"/>
      <c r="AU41" s="7">
        <f t="shared" ref="AU41:AU52" ca="1" si="122">IF(AK41=$AK$25,G41+Q41+AA41+AK41,IFERROR(G41+Q41+AA41+AK41,AK41))</f>
        <v>15.17</v>
      </c>
      <c r="AV41" s="8">
        <f t="shared" ref="AV41:AV52" ca="1" si="123">IF(AL41=$AK$25,H41+R41+AB41+AL41,IFERROR(H41+R41+AB41+AL41,AL41))</f>
        <v>12.12</v>
      </c>
      <c r="AW41" s="8" t="e">
        <f t="shared" ref="AW41:AW52" ca="1" si="124">IF(AM41=$AK$25,I41+S41+AC41+AM41,IFERROR(I41+S41+AC41+AM41,AM41))</f>
        <v>#VALUE!</v>
      </c>
      <c r="AX41" s="8">
        <f t="shared" ref="AX41:AX52" ca="1" si="125">IF(AN41=$AK$25,J41+T41+AD41+AN41,IFERROR(J41+T41+AD41+AN41,AN41))</f>
        <v>12.49</v>
      </c>
      <c r="AY41" s="8">
        <f t="shared" ref="AY41:AY52" ca="1" si="126">IF(AO41=$AK$25,K41+U41+AE41+AO41,IFERROR(K41+U41+AE41+AO41,AO41))</f>
        <v>9.6649999999999991</v>
      </c>
      <c r="AZ41" s="8">
        <f ca="1">IF(AP41=$AK$25,L41+V41+AF41+AP41,IFERROR(L41+V41+AF41+AP41,AP41))</f>
        <v>11.025</v>
      </c>
      <c r="BA41" s="8">
        <f t="shared" ref="BA41:BA52" ca="1" si="127">IF(AQ41=$AK$25,M41+W41+AG41+AQ41,IFERROR(M41+W41+AG41+AQ41,AQ41))</f>
        <v>11.950000000000001</v>
      </c>
      <c r="BB41" s="8">
        <f t="shared" ref="BB41:BB52" ca="1" si="128">IF(AR41=$AK$25,N41+X41+AH41+AR41,IFERROR(N41+X41+AH41+AR41,AR41))</f>
        <v>6.1199999999999992</v>
      </c>
      <c r="BC41" s="9">
        <f t="shared" ref="BC41:BC52" ca="1" si="129">IF(AS41=$AK$25,O41+Y41+AI41+AS41,IFERROR(O41+Y41+AI41+AS41,AS41))</f>
        <v>7.22</v>
      </c>
      <c r="BD41" s="15" t="str">
        <f t="shared" si="36"/>
        <v>gr2</v>
      </c>
      <c r="BE41" s="24">
        <f t="shared" ref="BE41:BE104" ca="1" si="130">IF(AU41&lt;$BE$26,"low",IF(AU41&gt;$BF$26,"high",AU41))</f>
        <v>15.17</v>
      </c>
      <c r="BF41" s="25">
        <f t="shared" ref="BF41:BF103" ca="1" si="131">IF(AV41&lt;$BE$26,"low",IF(AV41&gt;$BF$26,"high",AV41))</f>
        <v>12.12</v>
      </c>
      <c r="BG41" s="25" t="e">
        <f t="shared" ref="BG41:BG103" ca="1" si="132">IF(AW41&lt;$BE$26,"low",IF(AW41&gt;$BF$26,"high",AW41))</f>
        <v>#VALUE!</v>
      </c>
      <c r="BH41" s="25">
        <f t="shared" ref="BH41:BH103" ca="1" si="133">IF(AX41&lt;$BE$26,"low",IF(AX41&gt;$BF$26,"high",AX41))</f>
        <v>12.49</v>
      </c>
      <c r="BI41" s="25">
        <f t="shared" ref="BI41:BI95" ca="1" si="134">IF(AY41&lt;$BE$26,"low",IF(AY41&gt;$BF$26,"high",AY41))</f>
        <v>9.6649999999999991</v>
      </c>
      <c r="BJ41" s="25">
        <f t="shared" ref="BJ41:BJ103" ca="1" si="135">IF(AZ41&lt;$BE$26,"low",IF(AZ41&gt;$BF$26,"high",AZ41))</f>
        <v>11.025</v>
      </c>
      <c r="BK41" s="25">
        <f t="shared" ref="BK41:BK103" ca="1" si="136">IF(BA41&lt;$BE$26,"low",IF(BA41&gt;$BF$26,"high",BA41))</f>
        <v>11.950000000000001</v>
      </c>
      <c r="BL41" s="25">
        <f t="shared" ref="BL41:BL103" ca="1" si="137">IF(BB41&lt;$BE$26,"low",IF(BB41&gt;$BF$26,"high",BB41))</f>
        <v>6.1199999999999992</v>
      </c>
      <c r="BM41" s="26">
        <f t="shared" ref="BM41:BM103" ca="1" si="138">IF(BC41&lt;$BE$26,"low",IF(BC41&gt;$BF$26,"high",BC41))</f>
        <v>7.22</v>
      </c>
      <c r="BO41" s="44" t="str">
        <f t="shared" ref="BO41:BO52" si="139">C41</f>
        <v>gr2</v>
      </c>
      <c r="BP41" s="40" t="str">
        <f t="shared" ref="BP41:BP52" si="140">D41</f>
        <v>2bios1</v>
      </c>
      <c r="BQ41" s="40" t="str">
        <f t="shared" ref="BQ41:BQ52" si="141">E41</f>
        <v>tech13</v>
      </c>
      <c r="BR41" s="27">
        <f t="shared" ref="BR41:BR52" ca="1" si="142">IF(BE41="low",$BR$26,IF(BE41="high",$BS$26,BE41))</f>
        <v>15.17</v>
      </c>
      <c r="BS41" s="27">
        <f t="shared" ref="BS41:BS52" ca="1" si="143">IF(BF41="low",$BR$26,IF(BF41="high",$BS$26,BF41))</f>
        <v>12.12</v>
      </c>
      <c r="BT41" s="27" t="e">
        <f t="shared" ref="BT41:BT52" ca="1" si="144">IF(BG41="low",$BR$26,IF(BG41="high",$BS$26,BG41))</f>
        <v>#VALUE!</v>
      </c>
      <c r="BU41" s="27">
        <f t="shared" ref="BU41:BU52" ca="1" si="145">IF(BH41="low",$BR$26,IF(BH41="high",$BS$26,BH41))</f>
        <v>12.49</v>
      </c>
      <c r="BV41" s="27">
        <f t="shared" ref="BV41:BV52" ca="1" si="146">IF(BI41="low",$BR$26,IF(BI41="high",$BS$26,BI41))</f>
        <v>9.6649999999999991</v>
      </c>
      <c r="BW41" s="27">
        <f t="shared" ref="BW41:BW52" ca="1" si="147">IF(BJ41="low",$BR$26,IF(BJ41="high",$BS$26,BJ41))</f>
        <v>11.025</v>
      </c>
      <c r="BX41" s="27">
        <f t="shared" ref="BX41:BX52" ca="1" si="148">IF(BK41="low",$BR$26,IF(BK41="high",$BS$26,BK41))</f>
        <v>11.950000000000001</v>
      </c>
      <c r="BY41" s="27">
        <f t="shared" ref="BY41:BY52" ca="1" si="149">IF(BL41="low",$BR$26,IF(BL41="high",$BS$26,BL41))</f>
        <v>6.1199999999999992</v>
      </c>
      <c r="BZ41" s="45">
        <f t="shared" ref="BZ41:BZ52" ca="1" si="150">IF(BM41="low",$BR$26,IF(BM41="high",$BS$26,BM41))</f>
        <v>7.22</v>
      </c>
      <c r="CC41" s="53" t="str">
        <f t="shared" ref="CC41:CC52" si="151">BO41</f>
        <v>gr2</v>
      </c>
      <c r="CD41" s="54" t="str">
        <f t="shared" ref="CD41:CD52" si="152">BP41</f>
        <v>2bios1</v>
      </c>
      <c r="CE41" s="54" t="str">
        <f t="shared" ref="CE41:CE52" si="153">BQ41</f>
        <v>tech13</v>
      </c>
      <c r="CF41" s="27">
        <f t="shared" ref="CF41:CF52" ca="1" si="154">IF(BE41="low",$BT$26,IF(BE41="high",$BT$26,$BU$26))</f>
        <v>0.5</v>
      </c>
      <c r="CG41" s="27">
        <f t="shared" ref="CG41:CG52" ca="1" si="155">IF(BF41="low",$BT$26,IF(BF41="high",$BT$26,$BU$26))</f>
        <v>0.5</v>
      </c>
      <c r="CH41" s="27" t="e">
        <f t="shared" ref="CH41:CH52" ca="1" si="156">IF(BG41="low",$BT$26,IF(BG41="high",$BT$26,$BU$26))</f>
        <v>#VALUE!</v>
      </c>
      <c r="CI41" s="27">
        <f t="shared" ref="CI41:CI52" ca="1" si="157">IF(BH41="low",$BT$26,IF(BH41="high",$BT$26,$BU$26))</f>
        <v>0.5</v>
      </c>
      <c r="CJ41" s="27">
        <f t="shared" ref="CJ41:CJ52" ca="1" si="158">IF(BI41="low",$BT$26,IF(BI41="high",$BT$26,$BU$26))</f>
        <v>0.5</v>
      </c>
      <c r="CK41" s="27">
        <f t="shared" ref="CK41:CK52" ca="1" si="159">IF(BJ41="low",$BT$26,IF(BJ41="high",$BT$26,$BU$26))</f>
        <v>0.5</v>
      </c>
      <c r="CL41" s="27">
        <f t="shared" ref="CL41:CL52" ca="1" si="160">IF(BK41="low",$BT$26,IF(BK41="high",$BT$26,$BU$26))</f>
        <v>0.5</v>
      </c>
      <c r="CM41" s="27">
        <f t="shared" ref="CM41:CM52" ca="1" si="161">IF(BL41="low",$BT$26,IF(BL41="high",$BT$26,$BU$26))</f>
        <v>0.5</v>
      </c>
      <c r="CN41" s="45">
        <f t="shared" ref="CN41:CN52" ca="1" si="162">IF(BM41="low",$BT$26,IF(BM41="high",$BT$26,$BU$26))</f>
        <v>0.5</v>
      </c>
    </row>
    <row r="42" spans="3:92" x14ac:dyDescent="0.25">
      <c r="C42" t="str">
        <f t="shared" ref="C42:C52" si="163">F$8</f>
        <v>gr2</v>
      </c>
      <c r="D42" t="s">
        <v>106</v>
      </c>
      <c r="E42" t="s">
        <v>44</v>
      </c>
      <c r="G42" s="10">
        <f t="shared" ref="G42:G52" si="164">G41</f>
        <v>15</v>
      </c>
      <c r="H42" s="6">
        <f t="shared" ref="H42:H52" si="165">H41</f>
        <v>11</v>
      </c>
      <c r="I42" s="6">
        <f t="shared" ref="I42:I52" si="166">I41</f>
        <v>16</v>
      </c>
      <c r="J42" s="6">
        <f t="shared" ref="J42:J52" si="167">J41</f>
        <v>12.2</v>
      </c>
      <c r="K42" s="6">
        <f t="shared" ref="K42:K52" si="168">K41</f>
        <v>9.8000000000000007</v>
      </c>
      <c r="L42" s="6">
        <f t="shared" ref="L42:L52" si="169">L41</f>
        <v>11.23</v>
      </c>
      <c r="M42" s="6">
        <f t="shared" ref="M42:M52" si="170">M41</f>
        <v>12</v>
      </c>
      <c r="N42" s="6">
        <f t="shared" ref="N42:N52" si="171">N41</f>
        <v>6.3</v>
      </c>
      <c r="O42" s="11">
        <f t="shared" ref="O42:O52" si="172">O41</f>
        <v>6.9</v>
      </c>
      <c r="Q42" s="10">
        <f t="shared" ref="Q42:Y42" ca="1" si="173">Q41</f>
        <v>0.18000000000000016</v>
      </c>
      <c r="R42" s="6">
        <f t="shared" ca="1" si="173"/>
        <v>0.94000000000000017</v>
      </c>
      <c r="S42" s="6">
        <f t="shared" ca="1" si="173"/>
        <v>-0.15500000000000003</v>
      </c>
      <c r="T42" s="6">
        <f t="shared" ca="1" si="173"/>
        <v>7.9999999999999988E-2</v>
      </c>
      <c r="U42" s="6">
        <f t="shared" ca="1" si="173"/>
        <v>7.5000000000000011E-2</v>
      </c>
      <c r="V42" s="6">
        <f t="shared" ca="1" si="173"/>
        <v>-8.4999999999999992E-2</v>
      </c>
      <c r="W42" s="6">
        <f t="shared" ca="1" si="173"/>
        <v>-0.1</v>
      </c>
      <c r="X42" s="6">
        <f t="shared" ca="1" si="173"/>
        <v>0.06</v>
      </c>
      <c r="Y42" s="11">
        <f t="shared" ca="1" si="173"/>
        <v>0.1</v>
      </c>
      <c r="AA42" s="10">
        <f t="shared" ref="AA42:AI42" ca="1" si="174">RANDBETWEEN(0,AA112)/100-AA112/100/2</f>
        <v>-4.0000000000000008E-2</v>
      </c>
      <c r="AB42" s="6">
        <f t="shared" ca="1" si="174"/>
        <v>9.9999999999999978E-2</v>
      </c>
      <c r="AC42" s="6">
        <f t="shared" ca="1" si="174"/>
        <v>-0.22</v>
      </c>
      <c r="AD42" s="6">
        <f t="shared" ca="1" si="174"/>
        <v>-4.9999999999999989E-2</v>
      </c>
      <c r="AE42" s="6">
        <f t="shared" ca="1" si="174"/>
        <v>0.2</v>
      </c>
      <c r="AF42" s="6">
        <f t="shared" ca="1" si="174"/>
        <v>-0.16999999999999998</v>
      </c>
      <c r="AG42" s="6">
        <f t="shared" ca="1" si="174"/>
        <v>-0.06</v>
      </c>
      <c r="AH42" s="6">
        <f t="shared" ca="1" si="174"/>
        <v>0.16999999999999998</v>
      </c>
      <c r="AI42" s="11">
        <f t="shared" ca="1" si="174"/>
        <v>-7.0000000000000007E-2</v>
      </c>
      <c r="AK42" s="10"/>
      <c r="AL42" s="6"/>
      <c r="AM42" s="6" t="s">
        <v>18</v>
      </c>
      <c r="AN42" s="15" t="s">
        <v>21</v>
      </c>
      <c r="AO42" s="6"/>
      <c r="AP42" s="6"/>
      <c r="AQ42" s="6"/>
      <c r="AR42" s="6"/>
      <c r="AS42" s="11"/>
      <c r="AU42" s="10">
        <f t="shared" ca="1" si="122"/>
        <v>15.14</v>
      </c>
      <c r="AV42" s="6">
        <f t="shared" ca="1" si="123"/>
        <v>12.04</v>
      </c>
      <c r="AW42" s="6" t="e">
        <f t="shared" ca="1" si="124"/>
        <v>#VALUE!</v>
      </c>
      <c r="AX42" s="6" t="str">
        <f t="shared" ca="1" si="125"/>
        <v>8-15'</v>
      </c>
      <c r="AY42" s="6">
        <f t="shared" ca="1" si="126"/>
        <v>10.074999999999999</v>
      </c>
      <c r="AZ42" s="6">
        <f t="shared" ref="AZ42:AZ52" ca="1" si="175">IF(AP42=$AK$25,L42+V42+AF42+AP42,IFERROR(L42+V42+AF42+AP42,AP42))</f>
        <v>10.975</v>
      </c>
      <c r="BA42" s="6">
        <f t="shared" ca="1" si="127"/>
        <v>11.84</v>
      </c>
      <c r="BB42" s="6">
        <f t="shared" ca="1" si="128"/>
        <v>6.5299999999999994</v>
      </c>
      <c r="BC42" s="11">
        <f t="shared" ca="1" si="129"/>
        <v>6.93</v>
      </c>
      <c r="BD42" s="15" t="str">
        <f t="shared" si="36"/>
        <v>gr2</v>
      </c>
      <c r="BE42" s="27">
        <f t="shared" ca="1" si="130"/>
        <v>15.14</v>
      </c>
      <c r="BF42" s="28">
        <f t="shared" ca="1" si="131"/>
        <v>12.04</v>
      </c>
      <c r="BG42" s="28" t="e">
        <f t="shared" ca="1" si="132"/>
        <v>#VALUE!</v>
      </c>
      <c r="BH42" s="28" t="s">
        <v>21</v>
      </c>
      <c r="BI42" s="28">
        <f t="shared" ca="1" si="134"/>
        <v>10.074999999999999</v>
      </c>
      <c r="BJ42" s="28">
        <f t="shared" ca="1" si="135"/>
        <v>10.975</v>
      </c>
      <c r="BK42" s="28">
        <f t="shared" ca="1" si="136"/>
        <v>11.84</v>
      </c>
      <c r="BL42" s="28">
        <f t="shared" ca="1" si="137"/>
        <v>6.5299999999999994</v>
      </c>
      <c r="BM42" s="29">
        <f t="shared" ca="1" si="138"/>
        <v>6.93</v>
      </c>
      <c r="BO42" s="44" t="str">
        <f t="shared" si="139"/>
        <v>gr2</v>
      </c>
      <c r="BP42" s="40" t="str">
        <f t="shared" si="140"/>
        <v>2bios1</v>
      </c>
      <c r="BQ42" s="40" t="str">
        <f t="shared" si="141"/>
        <v>tech14</v>
      </c>
      <c r="BR42" s="27">
        <f t="shared" ca="1" si="142"/>
        <v>15.14</v>
      </c>
      <c r="BS42" s="27">
        <f t="shared" ca="1" si="143"/>
        <v>12.04</v>
      </c>
      <c r="BT42" s="27" t="e">
        <f t="shared" ca="1" si="144"/>
        <v>#VALUE!</v>
      </c>
      <c r="BU42" s="27">
        <v>11.5</v>
      </c>
      <c r="BV42" s="27">
        <f t="shared" ca="1" si="146"/>
        <v>10.074999999999999</v>
      </c>
      <c r="BW42" s="27">
        <f t="shared" ca="1" si="147"/>
        <v>10.975</v>
      </c>
      <c r="BX42" s="27">
        <f t="shared" ca="1" si="148"/>
        <v>11.84</v>
      </c>
      <c r="BY42" s="27">
        <f t="shared" ca="1" si="149"/>
        <v>6.5299999999999994</v>
      </c>
      <c r="BZ42" s="45">
        <f t="shared" ca="1" si="150"/>
        <v>6.93</v>
      </c>
      <c r="CC42" s="53" t="str">
        <f t="shared" si="151"/>
        <v>gr2</v>
      </c>
      <c r="CD42" s="54" t="str">
        <f t="shared" si="152"/>
        <v>2bios1</v>
      </c>
      <c r="CE42" s="54" t="str">
        <f t="shared" si="153"/>
        <v>tech14</v>
      </c>
      <c r="CF42" s="27">
        <f t="shared" ca="1" si="154"/>
        <v>0.5</v>
      </c>
      <c r="CG42" s="27">
        <f t="shared" ca="1" si="155"/>
        <v>0.5</v>
      </c>
      <c r="CH42" s="27" t="e">
        <f t="shared" ca="1" si="156"/>
        <v>#VALUE!</v>
      </c>
      <c r="CI42" s="27">
        <v>3.5</v>
      </c>
      <c r="CJ42" s="27">
        <f t="shared" ca="1" si="158"/>
        <v>0.5</v>
      </c>
      <c r="CK42" s="27">
        <f t="shared" ca="1" si="159"/>
        <v>0.5</v>
      </c>
      <c r="CL42" s="27">
        <f t="shared" ca="1" si="160"/>
        <v>0.5</v>
      </c>
      <c r="CM42" s="27">
        <f t="shared" ca="1" si="161"/>
        <v>0.5</v>
      </c>
      <c r="CN42" s="45">
        <f t="shared" ca="1" si="162"/>
        <v>0.5</v>
      </c>
    </row>
    <row r="43" spans="3:92" x14ac:dyDescent="0.25">
      <c r="C43" t="str">
        <f t="shared" si="163"/>
        <v>gr2</v>
      </c>
      <c r="D43" t="s">
        <v>106</v>
      </c>
      <c r="E43" t="s">
        <v>45</v>
      </c>
      <c r="G43" s="10">
        <f t="shared" si="164"/>
        <v>15</v>
      </c>
      <c r="H43" s="6">
        <f t="shared" si="165"/>
        <v>11</v>
      </c>
      <c r="I43" s="6">
        <f t="shared" si="166"/>
        <v>16</v>
      </c>
      <c r="J43" s="6">
        <f t="shared" si="167"/>
        <v>12.2</v>
      </c>
      <c r="K43" s="6">
        <f t="shared" si="168"/>
        <v>9.8000000000000007</v>
      </c>
      <c r="L43" s="6">
        <f t="shared" si="169"/>
        <v>11.23</v>
      </c>
      <c r="M43" s="6">
        <f t="shared" si="170"/>
        <v>12</v>
      </c>
      <c r="N43" s="6">
        <f t="shared" si="171"/>
        <v>6.3</v>
      </c>
      <c r="O43" s="11">
        <f t="shared" si="172"/>
        <v>6.9</v>
      </c>
      <c r="Q43" s="10">
        <f t="shared" ref="Q43:Y43" ca="1" si="176">Q42</f>
        <v>0.18000000000000016</v>
      </c>
      <c r="R43" s="6">
        <f t="shared" ca="1" si="176"/>
        <v>0.94000000000000017</v>
      </c>
      <c r="S43" s="6">
        <f t="shared" ca="1" si="176"/>
        <v>-0.15500000000000003</v>
      </c>
      <c r="T43" s="6">
        <f t="shared" ca="1" si="176"/>
        <v>7.9999999999999988E-2</v>
      </c>
      <c r="U43" s="6">
        <f t="shared" ca="1" si="176"/>
        <v>7.5000000000000011E-2</v>
      </c>
      <c r="V43" s="6">
        <f t="shared" ca="1" si="176"/>
        <v>-8.4999999999999992E-2</v>
      </c>
      <c r="W43" s="6">
        <f t="shared" ca="1" si="176"/>
        <v>-0.1</v>
      </c>
      <c r="X43" s="6">
        <f t="shared" ca="1" si="176"/>
        <v>0.06</v>
      </c>
      <c r="Y43" s="11">
        <f t="shared" ca="1" si="176"/>
        <v>0.1</v>
      </c>
      <c r="AA43" s="10">
        <f t="shared" ref="AA43:AI43" ca="1" si="177">RANDBETWEEN(0,AA112)/100-AA112/100/2</f>
        <v>3.0000000000000027E-2</v>
      </c>
      <c r="AB43" s="6">
        <f t="shared" ca="1" si="177"/>
        <v>0.18</v>
      </c>
      <c r="AC43" s="6">
        <f t="shared" ca="1" si="177"/>
        <v>-0.16</v>
      </c>
      <c r="AD43" s="6">
        <f t="shared" ca="1" si="177"/>
        <v>8.0000000000000016E-2</v>
      </c>
      <c r="AE43" s="6">
        <f t="shared" ca="1" si="177"/>
        <v>-0.24</v>
      </c>
      <c r="AF43" s="6">
        <f t="shared" ca="1" si="177"/>
        <v>0.21000000000000002</v>
      </c>
      <c r="AG43" s="6">
        <f t="shared" ca="1" si="177"/>
        <v>0.21000000000000002</v>
      </c>
      <c r="AH43" s="6">
        <f t="shared" ca="1" si="177"/>
        <v>-0.14000000000000001</v>
      </c>
      <c r="AI43" s="11">
        <f t="shared" ca="1" si="177"/>
        <v>-4.0000000000000008E-2</v>
      </c>
      <c r="AK43" s="10">
        <v>4</v>
      </c>
      <c r="AL43" s="6"/>
      <c r="AM43" s="6" t="s">
        <v>18</v>
      </c>
      <c r="AN43" s="6"/>
      <c r="AO43" s="6" t="s">
        <v>18</v>
      </c>
      <c r="AP43" s="6"/>
      <c r="AQ43" s="6"/>
      <c r="AR43" s="6"/>
      <c r="AS43" s="11"/>
      <c r="AU43" s="10">
        <f t="shared" ca="1" si="122"/>
        <v>19.21</v>
      </c>
      <c r="AV43" s="6">
        <f t="shared" ca="1" si="123"/>
        <v>12.12</v>
      </c>
      <c r="AW43" s="6" t="e">
        <f t="shared" ca="1" si="124"/>
        <v>#VALUE!</v>
      </c>
      <c r="AX43" s="6">
        <f t="shared" ca="1" si="125"/>
        <v>12.36</v>
      </c>
      <c r="AY43" s="6" t="e">
        <f t="shared" ca="1" si="126"/>
        <v>#VALUE!</v>
      </c>
      <c r="AZ43" s="6">
        <f t="shared" ca="1" si="175"/>
        <v>11.355</v>
      </c>
      <c r="BA43" s="6">
        <f t="shared" ca="1" si="127"/>
        <v>12.110000000000001</v>
      </c>
      <c r="BB43" s="6">
        <f t="shared" ca="1" si="128"/>
        <v>6.22</v>
      </c>
      <c r="BC43" s="11">
        <f t="shared" ca="1" si="129"/>
        <v>6.96</v>
      </c>
      <c r="BD43" s="15" t="str">
        <f t="shared" si="36"/>
        <v>gr2</v>
      </c>
      <c r="BE43" s="27">
        <f t="shared" ca="1" si="130"/>
        <v>19.21</v>
      </c>
      <c r="BF43" s="28">
        <f t="shared" ca="1" si="131"/>
        <v>12.12</v>
      </c>
      <c r="BG43" s="28" t="e">
        <f t="shared" ca="1" si="132"/>
        <v>#VALUE!</v>
      </c>
      <c r="BH43" s="28">
        <f t="shared" ca="1" si="133"/>
        <v>12.36</v>
      </c>
      <c r="BI43" s="28" t="e">
        <f t="shared" ca="1" si="134"/>
        <v>#VALUE!</v>
      </c>
      <c r="BJ43" s="28">
        <f t="shared" ca="1" si="135"/>
        <v>11.355</v>
      </c>
      <c r="BK43" s="28">
        <f t="shared" ca="1" si="136"/>
        <v>12.110000000000001</v>
      </c>
      <c r="BL43" s="28">
        <f t="shared" ca="1" si="137"/>
        <v>6.22</v>
      </c>
      <c r="BM43" s="29">
        <f t="shared" ca="1" si="138"/>
        <v>6.96</v>
      </c>
      <c r="BO43" s="44" t="str">
        <f t="shared" si="139"/>
        <v>gr2</v>
      </c>
      <c r="BP43" s="40" t="str">
        <f t="shared" si="140"/>
        <v>2bios1</v>
      </c>
      <c r="BQ43" s="40" t="str">
        <f t="shared" si="141"/>
        <v>tech15</v>
      </c>
      <c r="BR43" s="27">
        <f t="shared" ca="1" si="142"/>
        <v>19.21</v>
      </c>
      <c r="BS43" s="27">
        <f t="shared" ca="1" si="143"/>
        <v>12.12</v>
      </c>
      <c r="BT43" s="27" t="e">
        <f t="shared" ca="1" si="144"/>
        <v>#VALUE!</v>
      </c>
      <c r="BU43" s="27">
        <f t="shared" ca="1" si="145"/>
        <v>12.36</v>
      </c>
      <c r="BV43" s="27" t="e">
        <f t="shared" ca="1" si="146"/>
        <v>#VALUE!</v>
      </c>
      <c r="BW43" s="27">
        <f t="shared" ca="1" si="147"/>
        <v>11.355</v>
      </c>
      <c r="BX43" s="27">
        <f t="shared" ca="1" si="148"/>
        <v>12.110000000000001</v>
      </c>
      <c r="BY43" s="27">
        <f t="shared" ca="1" si="149"/>
        <v>6.22</v>
      </c>
      <c r="BZ43" s="45">
        <f t="shared" ca="1" si="150"/>
        <v>6.96</v>
      </c>
      <c r="CC43" s="53" t="str">
        <f t="shared" si="151"/>
        <v>gr2</v>
      </c>
      <c r="CD43" s="54" t="str">
        <f t="shared" si="152"/>
        <v>2bios1</v>
      </c>
      <c r="CE43" s="54" t="str">
        <f t="shared" si="153"/>
        <v>tech15</v>
      </c>
      <c r="CF43" s="27">
        <f t="shared" ca="1" si="154"/>
        <v>0.5</v>
      </c>
      <c r="CG43" s="27">
        <f t="shared" ca="1" si="155"/>
        <v>0.5</v>
      </c>
      <c r="CH43" s="27" t="e">
        <f t="shared" ca="1" si="156"/>
        <v>#VALUE!</v>
      </c>
      <c r="CI43" s="27">
        <f t="shared" ca="1" si="157"/>
        <v>0.5</v>
      </c>
      <c r="CJ43" s="27" t="e">
        <f t="shared" ca="1" si="158"/>
        <v>#VALUE!</v>
      </c>
      <c r="CK43" s="27">
        <f t="shared" ca="1" si="159"/>
        <v>0.5</v>
      </c>
      <c r="CL43" s="27">
        <f t="shared" ca="1" si="160"/>
        <v>0.5</v>
      </c>
      <c r="CM43" s="27">
        <f t="shared" ca="1" si="161"/>
        <v>0.5</v>
      </c>
      <c r="CN43" s="45">
        <f t="shared" ca="1" si="162"/>
        <v>0.5</v>
      </c>
    </row>
    <row r="44" spans="3:92" x14ac:dyDescent="0.25">
      <c r="C44" t="str">
        <f t="shared" si="163"/>
        <v>gr2</v>
      </c>
      <c r="D44" t="s">
        <v>106</v>
      </c>
      <c r="E44" t="s">
        <v>46</v>
      </c>
      <c r="G44" s="12">
        <f t="shared" si="164"/>
        <v>15</v>
      </c>
      <c r="H44" s="13">
        <f t="shared" si="165"/>
        <v>11</v>
      </c>
      <c r="I44" s="13">
        <f t="shared" si="166"/>
        <v>16</v>
      </c>
      <c r="J44" s="13">
        <f t="shared" si="167"/>
        <v>12.2</v>
      </c>
      <c r="K44" s="13">
        <f t="shared" si="168"/>
        <v>9.8000000000000007</v>
      </c>
      <c r="L44" s="13">
        <f t="shared" si="169"/>
        <v>11.23</v>
      </c>
      <c r="M44" s="13">
        <f t="shared" si="170"/>
        <v>12</v>
      </c>
      <c r="N44" s="13">
        <f t="shared" si="171"/>
        <v>6.3</v>
      </c>
      <c r="O44" s="14">
        <f t="shared" si="172"/>
        <v>6.9</v>
      </c>
      <c r="Q44" s="12">
        <f t="shared" ref="Q44:Y44" ca="1" si="178">Q43</f>
        <v>0.18000000000000016</v>
      </c>
      <c r="R44" s="13">
        <f t="shared" ca="1" si="178"/>
        <v>0.94000000000000017</v>
      </c>
      <c r="S44" s="13">
        <f t="shared" ca="1" si="178"/>
        <v>-0.15500000000000003</v>
      </c>
      <c r="T44" s="13">
        <f t="shared" ca="1" si="178"/>
        <v>7.9999999999999988E-2</v>
      </c>
      <c r="U44" s="13">
        <f t="shared" ca="1" si="178"/>
        <v>7.5000000000000011E-2</v>
      </c>
      <c r="V44" s="13">
        <f t="shared" ca="1" si="178"/>
        <v>-8.4999999999999992E-2</v>
      </c>
      <c r="W44" s="13">
        <f t="shared" ca="1" si="178"/>
        <v>-0.1</v>
      </c>
      <c r="X44" s="13">
        <f t="shared" ca="1" si="178"/>
        <v>0.06</v>
      </c>
      <c r="Y44" s="14">
        <f t="shared" ca="1" si="178"/>
        <v>0.1</v>
      </c>
      <c r="AA44" s="12">
        <f t="shared" ref="AA44:AI44" ca="1" si="179">RANDBETWEEN(0,AA112)/100-AA112/100/2</f>
        <v>-4.0000000000000008E-2</v>
      </c>
      <c r="AB44" s="13">
        <f t="shared" ca="1" si="179"/>
        <v>0.2</v>
      </c>
      <c r="AC44" s="13">
        <f t="shared" ca="1" si="179"/>
        <v>-0.03</v>
      </c>
      <c r="AD44" s="13">
        <f t="shared" ca="1" si="179"/>
        <v>-0.14000000000000001</v>
      </c>
      <c r="AE44" s="13">
        <f t="shared" ca="1" si="179"/>
        <v>-4.9999999999999989E-2</v>
      </c>
      <c r="AF44" s="13">
        <f t="shared" ca="1" si="179"/>
        <v>0.14000000000000001</v>
      </c>
      <c r="AG44" s="13">
        <f t="shared" ca="1" si="179"/>
        <v>3.999999999999998E-2</v>
      </c>
      <c r="AH44" s="13">
        <f t="shared" ca="1" si="179"/>
        <v>0.18</v>
      </c>
      <c r="AI44" s="14">
        <f t="shared" ca="1" si="179"/>
        <v>2.0000000000000018E-2</v>
      </c>
      <c r="AK44" s="12"/>
      <c r="AL44" s="13"/>
      <c r="AM44" s="13" t="s">
        <v>18</v>
      </c>
      <c r="AN44" s="13"/>
      <c r="AO44" s="13"/>
      <c r="AP44" s="13"/>
      <c r="AQ44" s="13"/>
      <c r="AR44" s="13"/>
      <c r="AS44" s="14"/>
      <c r="AU44" s="12">
        <f t="shared" ca="1" si="122"/>
        <v>15.14</v>
      </c>
      <c r="AV44" s="13">
        <f t="shared" ca="1" si="123"/>
        <v>12.139999999999999</v>
      </c>
      <c r="AW44" s="13" t="e">
        <f t="shared" ca="1" si="124"/>
        <v>#VALUE!</v>
      </c>
      <c r="AX44" s="13">
        <f t="shared" ca="1" si="125"/>
        <v>12.139999999999999</v>
      </c>
      <c r="AY44" s="13">
        <f t="shared" ca="1" si="126"/>
        <v>9.8249999999999993</v>
      </c>
      <c r="AZ44" s="13">
        <f t="shared" ca="1" si="175"/>
        <v>11.285</v>
      </c>
      <c r="BA44" s="13">
        <f t="shared" ca="1" si="127"/>
        <v>11.94</v>
      </c>
      <c r="BB44" s="13">
        <f t="shared" ca="1" si="128"/>
        <v>6.5399999999999991</v>
      </c>
      <c r="BC44" s="14">
        <f t="shared" ca="1" si="129"/>
        <v>7.02</v>
      </c>
      <c r="BD44" s="15" t="str">
        <f t="shared" si="36"/>
        <v>gr2</v>
      </c>
      <c r="BE44" s="30">
        <f t="shared" ca="1" si="130"/>
        <v>15.14</v>
      </c>
      <c r="BF44" s="31">
        <f t="shared" ca="1" si="131"/>
        <v>12.139999999999999</v>
      </c>
      <c r="BG44" s="31" t="e">
        <f t="shared" ca="1" si="132"/>
        <v>#VALUE!</v>
      </c>
      <c r="BH44" s="31">
        <f t="shared" ca="1" si="133"/>
        <v>12.139999999999999</v>
      </c>
      <c r="BI44" s="31">
        <f t="shared" ca="1" si="134"/>
        <v>9.8249999999999993</v>
      </c>
      <c r="BJ44" s="31">
        <f t="shared" ca="1" si="135"/>
        <v>11.285</v>
      </c>
      <c r="BK44" s="31">
        <f t="shared" ca="1" si="136"/>
        <v>11.94</v>
      </c>
      <c r="BL44" s="31">
        <f t="shared" ca="1" si="137"/>
        <v>6.5399999999999991</v>
      </c>
      <c r="BM44" s="32">
        <f t="shared" ca="1" si="138"/>
        <v>7.02</v>
      </c>
      <c r="BO44" s="44" t="str">
        <f t="shared" si="139"/>
        <v>gr2</v>
      </c>
      <c r="BP44" s="40" t="str">
        <f t="shared" si="140"/>
        <v>2bios1</v>
      </c>
      <c r="BQ44" s="40" t="str">
        <f t="shared" si="141"/>
        <v>tech16</v>
      </c>
      <c r="BR44" s="27">
        <f t="shared" ca="1" si="142"/>
        <v>15.14</v>
      </c>
      <c r="BS44" s="27">
        <f t="shared" ca="1" si="143"/>
        <v>12.139999999999999</v>
      </c>
      <c r="BT44" s="27" t="e">
        <f t="shared" ca="1" si="144"/>
        <v>#VALUE!</v>
      </c>
      <c r="BU44" s="27">
        <f t="shared" ca="1" si="145"/>
        <v>12.139999999999999</v>
      </c>
      <c r="BV44" s="27">
        <f t="shared" ca="1" si="146"/>
        <v>9.8249999999999993</v>
      </c>
      <c r="BW44" s="27">
        <f t="shared" ca="1" si="147"/>
        <v>11.285</v>
      </c>
      <c r="BX44" s="27">
        <f t="shared" ca="1" si="148"/>
        <v>11.94</v>
      </c>
      <c r="BY44" s="27">
        <f t="shared" ca="1" si="149"/>
        <v>6.5399999999999991</v>
      </c>
      <c r="BZ44" s="45">
        <f t="shared" ca="1" si="150"/>
        <v>7.02</v>
      </c>
      <c r="CC44" s="53" t="str">
        <f t="shared" si="151"/>
        <v>gr2</v>
      </c>
      <c r="CD44" s="54" t="str">
        <f t="shared" si="152"/>
        <v>2bios1</v>
      </c>
      <c r="CE44" s="54" t="str">
        <f t="shared" si="153"/>
        <v>tech16</v>
      </c>
      <c r="CF44" s="27">
        <f t="shared" ca="1" si="154"/>
        <v>0.5</v>
      </c>
      <c r="CG44" s="27">
        <f t="shared" ca="1" si="155"/>
        <v>0.5</v>
      </c>
      <c r="CH44" s="27" t="e">
        <f t="shared" ca="1" si="156"/>
        <v>#VALUE!</v>
      </c>
      <c r="CI44" s="27">
        <f t="shared" ca="1" si="157"/>
        <v>0.5</v>
      </c>
      <c r="CJ44" s="27">
        <f t="shared" ca="1" si="158"/>
        <v>0.5</v>
      </c>
      <c r="CK44" s="27">
        <f t="shared" ca="1" si="159"/>
        <v>0.5</v>
      </c>
      <c r="CL44" s="27">
        <f t="shared" ca="1" si="160"/>
        <v>0.5</v>
      </c>
      <c r="CM44" s="27">
        <f t="shared" ca="1" si="161"/>
        <v>0.5</v>
      </c>
      <c r="CN44" s="45">
        <f t="shared" ca="1" si="162"/>
        <v>0.5</v>
      </c>
    </row>
    <row r="45" spans="3:92" x14ac:dyDescent="0.25">
      <c r="C45" t="str">
        <f t="shared" si="163"/>
        <v>gr2</v>
      </c>
      <c r="D45" t="s">
        <v>107</v>
      </c>
      <c r="E45" t="s">
        <v>47</v>
      </c>
      <c r="G45" s="7">
        <f t="shared" si="164"/>
        <v>15</v>
      </c>
      <c r="H45" s="8">
        <f t="shared" si="165"/>
        <v>11</v>
      </c>
      <c r="I45" s="8">
        <f t="shared" si="166"/>
        <v>16</v>
      </c>
      <c r="J45" s="8">
        <f t="shared" si="167"/>
        <v>12.2</v>
      </c>
      <c r="K45" s="8">
        <f t="shared" si="168"/>
        <v>9.8000000000000007</v>
      </c>
      <c r="L45" s="8">
        <f t="shared" si="169"/>
        <v>11.23</v>
      </c>
      <c r="M45" s="8">
        <f t="shared" si="170"/>
        <v>12</v>
      </c>
      <c r="N45" s="8">
        <f t="shared" si="171"/>
        <v>6.3</v>
      </c>
      <c r="O45" s="9">
        <f t="shared" si="172"/>
        <v>6.9</v>
      </c>
      <c r="Q45" s="7">
        <f t="shared" ref="Q45:Y45" ca="1" si="180">RANDBETWEEN(0,Q112)/100-Q112/100/2</f>
        <v>-1.06</v>
      </c>
      <c r="R45" s="8">
        <f t="shared" ca="1" si="180"/>
        <v>1.45</v>
      </c>
      <c r="S45" s="8">
        <f t="shared" ca="1" si="180"/>
        <v>8.4999999999999964E-2</v>
      </c>
      <c r="T45" s="8">
        <f t="shared" ca="1" si="180"/>
        <v>-0.03</v>
      </c>
      <c r="U45" s="8">
        <f t="shared" ca="1" si="180"/>
        <v>-0.115</v>
      </c>
      <c r="V45" s="8">
        <f t="shared" ca="1" si="180"/>
        <v>-2.4999999999999994E-2</v>
      </c>
      <c r="W45" s="8">
        <f t="shared" ca="1" si="180"/>
        <v>-6.0000000000000005E-2</v>
      </c>
      <c r="X45" s="8">
        <f t="shared" ca="1" si="180"/>
        <v>0.11000000000000001</v>
      </c>
      <c r="Y45" s="9">
        <f t="shared" ca="1" si="180"/>
        <v>-0.09</v>
      </c>
      <c r="AA45" s="7">
        <f t="shared" ref="AA45:AI45" ca="1" si="181">RANDBETWEEN(0,AA112)/100-AA112/100/2</f>
        <v>8.0000000000000016E-2</v>
      </c>
      <c r="AB45" s="8">
        <f t="shared" ca="1" si="181"/>
        <v>-0.18</v>
      </c>
      <c r="AC45" s="8">
        <f t="shared" ca="1" si="181"/>
        <v>-0.24</v>
      </c>
      <c r="AD45" s="8">
        <f t="shared" ca="1" si="181"/>
        <v>-1.0000000000000009E-2</v>
      </c>
      <c r="AE45" s="8">
        <f t="shared" ca="1" si="181"/>
        <v>-0.13</v>
      </c>
      <c r="AF45" s="8">
        <f t="shared" ca="1" si="181"/>
        <v>0.21000000000000002</v>
      </c>
      <c r="AG45" s="8">
        <f t="shared" ca="1" si="181"/>
        <v>-0.10999999999999999</v>
      </c>
      <c r="AH45" s="8">
        <f t="shared" ca="1" si="181"/>
        <v>-0.23</v>
      </c>
      <c r="AI45" s="9">
        <f t="shared" ca="1" si="181"/>
        <v>-1.999999999999999E-2</v>
      </c>
      <c r="AK45" s="7"/>
      <c r="AL45" s="8"/>
      <c r="AM45" s="8" t="s">
        <v>18</v>
      </c>
      <c r="AN45" s="8">
        <v>30</v>
      </c>
      <c r="AO45" s="8"/>
      <c r="AP45" s="8"/>
      <c r="AQ45" s="8"/>
      <c r="AR45" s="8"/>
      <c r="AS45" s="9"/>
      <c r="AU45" s="7">
        <f t="shared" ca="1" si="122"/>
        <v>14.02</v>
      </c>
      <c r="AV45" s="8">
        <f t="shared" ca="1" si="123"/>
        <v>12.27</v>
      </c>
      <c r="AW45" s="8" t="e">
        <f t="shared" ca="1" si="124"/>
        <v>#VALUE!</v>
      </c>
      <c r="AX45" s="8">
        <f t="shared" ca="1" si="125"/>
        <v>42.16</v>
      </c>
      <c r="AY45" s="8">
        <f t="shared" ca="1" si="126"/>
        <v>9.5549999999999997</v>
      </c>
      <c r="AZ45" s="8">
        <f t="shared" ca="1" si="175"/>
        <v>11.415000000000001</v>
      </c>
      <c r="BA45" s="8">
        <f t="shared" ca="1" si="127"/>
        <v>11.83</v>
      </c>
      <c r="BB45" s="8">
        <f t="shared" ca="1" si="128"/>
        <v>6.18</v>
      </c>
      <c r="BC45" s="9">
        <f t="shared" ca="1" si="129"/>
        <v>6.7900000000000009</v>
      </c>
      <c r="BD45" s="15" t="str">
        <f t="shared" si="36"/>
        <v>gr2</v>
      </c>
      <c r="BE45" s="24">
        <f t="shared" ca="1" si="130"/>
        <v>14.02</v>
      </c>
      <c r="BF45" s="25">
        <f t="shared" ca="1" si="131"/>
        <v>12.27</v>
      </c>
      <c r="BG45" s="25" t="e">
        <f t="shared" ca="1" si="132"/>
        <v>#VALUE!</v>
      </c>
      <c r="BH45" s="25" t="str">
        <f t="shared" ca="1" si="133"/>
        <v>high</v>
      </c>
      <c r="BI45" s="25">
        <f t="shared" ca="1" si="134"/>
        <v>9.5549999999999997</v>
      </c>
      <c r="BJ45" s="25">
        <f t="shared" ca="1" si="135"/>
        <v>11.415000000000001</v>
      </c>
      <c r="BK45" s="25">
        <f t="shared" ca="1" si="136"/>
        <v>11.83</v>
      </c>
      <c r="BL45" s="25">
        <f t="shared" ca="1" si="137"/>
        <v>6.18</v>
      </c>
      <c r="BM45" s="26">
        <f t="shared" ca="1" si="138"/>
        <v>6.7900000000000009</v>
      </c>
      <c r="BO45" s="44" t="str">
        <f t="shared" si="139"/>
        <v>gr2</v>
      </c>
      <c r="BP45" s="40" t="str">
        <f t="shared" si="140"/>
        <v>2bios2</v>
      </c>
      <c r="BQ45" s="40" t="str">
        <f t="shared" si="141"/>
        <v>tech17</v>
      </c>
      <c r="BR45" s="27">
        <f t="shared" ca="1" si="142"/>
        <v>14.02</v>
      </c>
      <c r="BS45" s="27">
        <f t="shared" ca="1" si="143"/>
        <v>12.27</v>
      </c>
      <c r="BT45" s="27" t="e">
        <f t="shared" ca="1" si="144"/>
        <v>#VALUE!</v>
      </c>
      <c r="BU45" s="27">
        <f t="shared" ca="1" si="145"/>
        <v>47</v>
      </c>
      <c r="BV45" s="27">
        <f t="shared" ca="1" si="146"/>
        <v>9.5549999999999997</v>
      </c>
      <c r="BW45" s="27">
        <f t="shared" ca="1" si="147"/>
        <v>11.415000000000001</v>
      </c>
      <c r="BX45" s="27">
        <f t="shared" ca="1" si="148"/>
        <v>11.83</v>
      </c>
      <c r="BY45" s="27">
        <f t="shared" ca="1" si="149"/>
        <v>6.18</v>
      </c>
      <c r="BZ45" s="45">
        <f t="shared" ca="1" si="150"/>
        <v>6.7900000000000009</v>
      </c>
      <c r="CC45" s="53" t="str">
        <f t="shared" si="151"/>
        <v>gr2</v>
      </c>
      <c r="CD45" s="54" t="str">
        <f t="shared" si="152"/>
        <v>2bios2</v>
      </c>
      <c r="CE45" s="54" t="str">
        <f t="shared" si="153"/>
        <v>tech17</v>
      </c>
      <c r="CF45" s="27">
        <f t="shared" ca="1" si="154"/>
        <v>0.5</v>
      </c>
      <c r="CG45" s="27">
        <f t="shared" ca="1" si="155"/>
        <v>0.5</v>
      </c>
      <c r="CH45" s="27" t="e">
        <f t="shared" ca="1" si="156"/>
        <v>#VALUE!</v>
      </c>
      <c r="CI45" s="27">
        <f t="shared" ca="1" si="157"/>
        <v>5</v>
      </c>
      <c r="CJ45" s="27">
        <f t="shared" ca="1" si="158"/>
        <v>0.5</v>
      </c>
      <c r="CK45" s="27">
        <f t="shared" ca="1" si="159"/>
        <v>0.5</v>
      </c>
      <c r="CL45" s="27">
        <f t="shared" ca="1" si="160"/>
        <v>0.5</v>
      </c>
      <c r="CM45" s="27">
        <f t="shared" ca="1" si="161"/>
        <v>0.5</v>
      </c>
      <c r="CN45" s="45">
        <f t="shared" ca="1" si="162"/>
        <v>0.5</v>
      </c>
    </row>
    <row r="46" spans="3:92" x14ac:dyDescent="0.25">
      <c r="C46" t="str">
        <f t="shared" si="163"/>
        <v>gr2</v>
      </c>
      <c r="D46" t="s">
        <v>107</v>
      </c>
      <c r="E46" t="s">
        <v>48</v>
      </c>
      <c r="G46" s="10">
        <f t="shared" si="164"/>
        <v>15</v>
      </c>
      <c r="H46" s="6">
        <f t="shared" si="165"/>
        <v>11</v>
      </c>
      <c r="I46" s="6">
        <f t="shared" si="166"/>
        <v>16</v>
      </c>
      <c r="J46" s="6">
        <f t="shared" si="167"/>
        <v>12.2</v>
      </c>
      <c r="K46" s="6">
        <f t="shared" si="168"/>
        <v>9.8000000000000007</v>
      </c>
      <c r="L46" s="6">
        <f t="shared" si="169"/>
        <v>11.23</v>
      </c>
      <c r="M46" s="6">
        <f t="shared" si="170"/>
        <v>12</v>
      </c>
      <c r="N46" s="6">
        <f t="shared" si="171"/>
        <v>6.3</v>
      </c>
      <c r="O46" s="11">
        <f t="shared" si="172"/>
        <v>6.9</v>
      </c>
      <c r="Q46" s="10">
        <f t="shared" ref="Q46:Y46" ca="1" si="182">Q45</f>
        <v>-1.06</v>
      </c>
      <c r="R46" s="6">
        <f t="shared" ca="1" si="182"/>
        <v>1.45</v>
      </c>
      <c r="S46" s="6">
        <f t="shared" ca="1" si="182"/>
        <v>8.4999999999999964E-2</v>
      </c>
      <c r="T46" s="6">
        <f t="shared" ca="1" si="182"/>
        <v>-0.03</v>
      </c>
      <c r="U46" s="6">
        <f t="shared" ca="1" si="182"/>
        <v>-0.115</v>
      </c>
      <c r="V46" s="6">
        <f t="shared" ca="1" si="182"/>
        <v>-2.4999999999999994E-2</v>
      </c>
      <c r="W46" s="6">
        <f t="shared" ca="1" si="182"/>
        <v>-6.0000000000000005E-2</v>
      </c>
      <c r="X46" s="6">
        <f t="shared" ca="1" si="182"/>
        <v>0.11000000000000001</v>
      </c>
      <c r="Y46" s="11">
        <f t="shared" ca="1" si="182"/>
        <v>-0.09</v>
      </c>
      <c r="AA46" s="10">
        <f t="shared" ref="AA46:AI46" ca="1" si="183">RANDBETWEEN(0,AA112)/100-AA112/100/2</f>
        <v>8.0000000000000016E-2</v>
      </c>
      <c r="AB46" s="6">
        <f t="shared" ca="1" si="183"/>
        <v>-1.999999999999999E-2</v>
      </c>
      <c r="AC46" s="6">
        <f t="shared" ca="1" si="183"/>
        <v>3.0000000000000027E-2</v>
      </c>
      <c r="AD46" s="6">
        <f t="shared" ca="1" si="183"/>
        <v>0.21000000000000002</v>
      </c>
      <c r="AE46" s="6">
        <f t="shared" ca="1" si="183"/>
        <v>0.22999999999999998</v>
      </c>
      <c r="AF46" s="6">
        <f t="shared" ca="1" si="183"/>
        <v>-7.0000000000000007E-2</v>
      </c>
      <c r="AG46" s="6">
        <f t="shared" ca="1" si="183"/>
        <v>0.2</v>
      </c>
      <c r="AH46" s="6">
        <f t="shared" ca="1" si="183"/>
        <v>0.13</v>
      </c>
      <c r="AI46" s="11">
        <f t="shared" ca="1" si="183"/>
        <v>9.0000000000000024E-2</v>
      </c>
      <c r="AK46" s="10"/>
      <c r="AL46" s="6"/>
      <c r="AM46" s="6" t="s">
        <v>18</v>
      </c>
      <c r="AN46" s="6">
        <v>30</v>
      </c>
      <c r="AO46" s="6"/>
      <c r="AP46" s="6"/>
      <c r="AQ46" s="6"/>
      <c r="AR46" s="6"/>
      <c r="AS46" s="11"/>
      <c r="AU46" s="10">
        <f t="shared" ca="1" si="122"/>
        <v>14.02</v>
      </c>
      <c r="AV46" s="6">
        <f t="shared" ca="1" si="123"/>
        <v>12.43</v>
      </c>
      <c r="AW46" s="6" t="e">
        <f t="shared" ca="1" si="124"/>
        <v>#VALUE!</v>
      </c>
      <c r="AX46" s="6">
        <f t="shared" ca="1" si="125"/>
        <v>42.38</v>
      </c>
      <c r="AY46" s="6">
        <f t="shared" ca="1" si="126"/>
        <v>9.9150000000000009</v>
      </c>
      <c r="AZ46" s="6">
        <f t="shared" ca="1" si="175"/>
        <v>11.135</v>
      </c>
      <c r="BA46" s="6">
        <f t="shared" ca="1" si="127"/>
        <v>12.139999999999999</v>
      </c>
      <c r="BB46" s="6">
        <f t="shared" ca="1" si="128"/>
        <v>6.54</v>
      </c>
      <c r="BC46" s="11">
        <f t="shared" ca="1" si="129"/>
        <v>6.9</v>
      </c>
      <c r="BD46" s="15" t="str">
        <f t="shared" si="36"/>
        <v>gr2</v>
      </c>
      <c r="BE46" s="27">
        <f t="shared" ca="1" si="130"/>
        <v>14.02</v>
      </c>
      <c r="BF46" s="28">
        <f t="shared" ca="1" si="131"/>
        <v>12.43</v>
      </c>
      <c r="BG46" s="28" t="e">
        <f t="shared" ca="1" si="132"/>
        <v>#VALUE!</v>
      </c>
      <c r="BH46" s="28" t="str">
        <f t="shared" ca="1" si="133"/>
        <v>high</v>
      </c>
      <c r="BI46" s="28">
        <f t="shared" ca="1" si="134"/>
        <v>9.9150000000000009</v>
      </c>
      <c r="BJ46" s="28">
        <f t="shared" ca="1" si="135"/>
        <v>11.135</v>
      </c>
      <c r="BK46" s="28">
        <f t="shared" ca="1" si="136"/>
        <v>12.139999999999999</v>
      </c>
      <c r="BL46" s="28">
        <f t="shared" ca="1" si="137"/>
        <v>6.54</v>
      </c>
      <c r="BM46" s="29">
        <f t="shared" ca="1" si="138"/>
        <v>6.9</v>
      </c>
      <c r="BO46" s="44" t="str">
        <f t="shared" si="139"/>
        <v>gr2</v>
      </c>
      <c r="BP46" s="40" t="str">
        <f t="shared" si="140"/>
        <v>2bios2</v>
      </c>
      <c r="BQ46" s="40" t="str">
        <f t="shared" si="141"/>
        <v>tech18</v>
      </c>
      <c r="BR46" s="27">
        <f t="shared" ca="1" si="142"/>
        <v>14.02</v>
      </c>
      <c r="BS46" s="27">
        <f t="shared" ca="1" si="143"/>
        <v>12.43</v>
      </c>
      <c r="BT46" s="27" t="e">
        <f t="shared" ca="1" si="144"/>
        <v>#VALUE!</v>
      </c>
      <c r="BU46" s="27">
        <f t="shared" ca="1" si="145"/>
        <v>47</v>
      </c>
      <c r="BV46" s="27">
        <f t="shared" ca="1" si="146"/>
        <v>9.9150000000000009</v>
      </c>
      <c r="BW46" s="27">
        <f t="shared" ca="1" si="147"/>
        <v>11.135</v>
      </c>
      <c r="BX46" s="27">
        <f t="shared" ca="1" si="148"/>
        <v>12.139999999999999</v>
      </c>
      <c r="BY46" s="27">
        <f t="shared" ca="1" si="149"/>
        <v>6.54</v>
      </c>
      <c r="BZ46" s="45">
        <f t="shared" ca="1" si="150"/>
        <v>6.9</v>
      </c>
      <c r="CC46" s="53" t="str">
        <f t="shared" si="151"/>
        <v>gr2</v>
      </c>
      <c r="CD46" s="54" t="str">
        <f t="shared" si="152"/>
        <v>2bios2</v>
      </c>
      <c r="CE46" s="54" t="str">
        <f t="shared" si="153"/>
        <v>tech18</v>
      </c>
      <c r="CF46" s="27">
        <f t="shared" ca="1" si="154"/>
        <v>0.5</v>
      </c>
      <c r="CG46" s="27">
        <f t="shared" ca="1" si="155"/>
        <v>0.5</v>
      </c>
      <c r="CH46" s="27" t="e">
        <f t="shared" ca="1" si="156"/>
        <v>#VALUE!</v>
      </c>
      <c r="CI46" s="27">
        <f t="shared" ca="1" si="157"/>
        <v>5</v>
      </c>
      <c r="CJ46" s="27">
        <f t="shared" ca="1" si="158"/>
        <v>0.5</v>
      </c>
      <c r="CK46" s="27">
        <f t="shared" ca="1" si="159"/>
        <v>0.5</v>
      </c>
      <c r="CL46" s="27">
        <f t="shared" ca="1" si="160"/>
        <v>0.5</v>
      </c>
      <c r="CM46" s="27">
        <f t="shared" ca="1" si="161"/>
        <v>0.5</v>
      </c>
      <c r="CN46" s="45">
        <f t="shared" ca="1" si="162"/>
        <v>0.5</v>
      </c>
    </row>
    <row r="47" spans="3:92" x14ac:dyDescent="0.25">
      <c r="C47" t="str">
        <f t="shared" si="163"/>
        <v>gr2</v>
      </c>
      <c r="D47" t="s">
        <v>107</v>
      </c>
      <c r="E47" t="s">
        <v>49</v>
      </c>
      <c r="G47" s="10">
        <f t="shared" si="164"/>
        <v>15</v>
      </c>
      <c r="H47" s="6">
        <f t="shared" si="165"/>
        <v>11</v>
      </c>
      <c r="I47" s="6">
        <f t="shared" si="166"/>
        <v>16</v>
      </c>
      <c r="J47" s="6">
        <f t="shared" si="167"/>
        <v>12.2</v>
      </c>
      <c r="K47" s="6">
        <f t="shared" si="168"/>
        <v>9.8000000000000007</v>
      </c>
      <c r="L47" s="6">
        <f t="shared" si="169"/>
        <v>11.23</v>
      </c>
      <c r="M47" s="6">
        <f t="shared" si="170"/>
        <v>12</v>
      </c>
      <c r="N47" s="6">
        <f t="shared" si="171"/>
        <v>6.3</v>
      </c>
      <c r="O47" s="11">
        <f t="shared" si="172"/>
        <v>6.9</v>
      </c>
      <c r="Q47" s="10">
        <f t="shared" ref="Q47:Y47" ca="1" si="184">Q46</f>
        <v>-1.06</v>
      </c>
      <c r="R47" s="6">
        <f t="shared" ca="1" si="184"/>
        <v>1.45</v>
      </c>
      <c r="S47" s="6">
        <f t="shared" ca="1" si="184"/>
        <v>8.4999999999999964E-2</v>
      </c>
      <c r="T47" s="6">
        <f t="shared" ca="1" si="184"/>
        <v>-0.03</v>
      </c>
      <c r="U47" s="6">
        <f t="shared" ca="1" si="184"/>
        <v>-0.115</v>
      </c>
      <c r="V47" s="6">
        <f t="shared" ca="1" si="184"/>
        <v>-2.4999999999999994E-2</v>
      </c>
      <c r="W47" s="6">
        <f t="shared" ca="1" si="184"/>
        <v>-6.0000000000000005E-2</v>
      </c>
      <c r="X47" s="6">
        <f t="shared" ca="1" si="184"/>
        <v>0.11000000000000001</v>
      </c>
      <c r="Y47" s="11">
        <f t="shared" ca="1" si="184"/>
        <v>-0.09</v>
      </c>
      <c r="AA47" s="10">
        <f t="shared" ref="AA47:AI47" ca="1" si="185">RANDBETWEEN(0,AA112)/100-AA112/100/2</f>
        <v>0.21999999999999997</v>
      </c>
      <c r="AB47" s="6">
        <f t="shared" ca="1" si="185"/>
        <v>-0.15</v>
      </c>
      <c r="AC47" s="6">
        <f t="shared" ca="1" si="185"/>
        <v>-0.15</v>
      </c>
      <c r="AD47" s="6">
        <f t="shared" ca="1" si="185"/>
        <v>-0.13</v>
      </c>
      <c r="AE47" s="6">
        <f t="shared" ca="1" si="185"/>
        <v>0.16999999999999998</v>
      </c>
      <c r="AF47" s="6">
        <f t="shared" ca="1" si="185"/>
        <v>2.0000000000000018E-2</v>
      </c>
      <c r="AG47" s="6">
        <f t="shared" ca="1" si="185"/>
        <v>1.0000000000000009E-2</v>
      </c>
      <c r="AH47" s="6">
        <f t="shared" ca="1" si="185"/>
        <v>0.19</v>
      </c>
      <c r="AI47" s="11">
        <f t="shared" ca="1" si="185"/>
        <v>2.0000000000000018E-2</v>
      </c>
      <c r="AK47" s="10"/>
      <c r="AL47" s="6"/>
      <c r="AM47" s="6" t="s">
        <v>18</v>
      </c>
      <c r="AN47" s="6">
        <v>30</v>
      </c>
      <c r="AO47" s="6"/>
      <c r="AP47" s="6"/>
      <c r="AQ47" s="6">
        <v>2</v>
      </c>
      <c r="AR47" s="6"/>
      <c r="AS47" s="11"/>
      <c r="AU47" s="10">
        <f t="shared" ca="1" si="122"/>
        <v>14.16</v>
      </c>
      <c r="AV47" s="6">
        <f t="shared" ca="1" si="123"/>
        <v>12.299999999999999</v>
      </c>
      <c r="AW47" s="6" t="e">
        <f t="shared" ca="1" si="124"/>
        <v>#VALUE!</v>
      </c>
      <c r="AX47" s="6">
        <f t="shared" ca="1" si="125"/>
        <v>42.04</v>
      </c>
      <c r="AY47" s="6">
        <f t="shared" ca="1" si="126"/>
        <v>9.8550000000000004</v>
      </c>
      <c r="AZ47" s="6">
        <f t="shared" ca="1" si="175"/>
        <v>11.225</v>
      </c>
      <c r="BA47" s="6">
        <f t="shared" ca="1" si="127"/>
        <v>13.95</v>
      </c>
      <c r="BB47" s="6">
        <f t="shared" ca="1" si="128"/>
        <v>6.6000000000000005</v>
      </c>
      <c r="BC47" s="11">
        <f t="shared" ca="1" si="129"/>
        <v>6.83</v>
      </c>
      <c r="BD47" s="15" t="str">
        <f t="shared" si="36"/>
        <v>gr2</v>
      </c>
      <c r="BE47" s="27">
        <f t="shared" ca="1" si="130"/>
        <v>14.16</v>
      </c>
      <c r="BF47" s="28">
        <f t="shared" ca="1" si="131"/>
        <v>12.299999999999999</v>
      </c>
      <c r="BG47" s="28" t="e">
        <f t="shared" ca="1" si="132"/>
        <v>#VALUE!</v>
      </c>
      <c r="BH47" s="28" t="str">
        <f t="shared" ca="1" si="133"/>
        <v>high</v>
      </c>
      <c r="BI47" s="28">
        <f t="shared" ca="1" si="134"/>
        <v>9.8550000000000004</v>
      </c>
      <c r="BJ47" s="28">
        <f t="shared" ca="1" si="135"/>
        <v>11.225</v>
      </c>
      <c r="BK47" s="28">
        <f t="shared" ca="1" si="136"/>
        <v>13.95</v>
      </c>
      <c r="BL47" s="28">
        <f t="shared" ca="1" si="137"/>
        <v>6.6000000000000005</v>
      </c>
      <c r="BM47" s="29">
        <f t="shared" ca="1" si="138"/>
        <v>6.83</v>
      </c>
      <c r="BO47" s="44" t="str">
        <f t="shared" si="139"/>
        <v>gr2</v>
      </c>
      <c r="BP47" s="40" t="str">
        <f t="shared" si="140"/>
        <v>2bios2</v>
      </c>
      <c r="BQ47" s="40" t="str">
        <f t="shared" si="141"/>
        <v>tech19</v>
      </c>
      <c r="BR47" s="27">
        <f t="shared" ca="1" si="142"/>
        <v>14.16</v>
      </c>
      <c r="BS47" s="27">
        <f t="shared" ca="1" si="143"/>
        <v>12.299999999999999</v>
      </c>
      <c r="BT47" s="27" t="e">
        <f t="shared" ca="1" si="144"/>
        <v>#VALUE!</v>
      </c>
      <c r="BU47" s="27">
        <f t="shared" ca="1" si="145"/>
        <v>47</v>
      </c>
      <c r="BV47" s="27">
        <f t="shared" ca="1" si="146"/>
        <v>9.8550000000000004</v>
      </c>
      <c r="BW47" s="27">
        <f t="shared" ca="1" si="147"/>
        <v>11.225</v>
      </c>
      <c r="BX47" s="27">
        <f t="shared" ca="1" si="148"/>
        <v>13.95</v>
      </c>
      <c r="BY47" s="27">
        <f t="shared" ca="1" si="149"/>
        <v>6.6000000000000005</v>
      </c>
      <c r="BZ47" s="45">
        <f t="shared" ca="1" si="150"/>
        <v>6.83</v>
      </c>
      <c r="CC47" s="53" t="str">
        <f t="shared" si="151"/>
        <v>gr2</v>
      </c>
      <c r="CD47" s="54" t="str">
        <f t="shared" si="152"/>
        <v>2bios2</v>
      </c>
      <c r="CE47" s="54" t="str">
        <f t="shared" si="153"/>
        <v>tech19</v>
      </c>
      <c r="CF47" s="27">
        <f t="shared" ca="1" si="154"/>
        <v>0.5</v>
      </c>
      <c r="CG47" s="27">
        <f t="shared" ca="1" si="155"/>
        <v>0.5</v>
      </c>
      <c r="CH47" s="27" t="e">
        <f t="shared" ca="1" si="156"/>
        <v>#VALUE!</v>
      </c>
      <c r="CI47" s="27">
        <f t="shared" ca="1" si="157"/>
        <v>5</v>
      </c>
      <c r="CJ47" s="27">
        <f t="shared" ca="1" si="158"/>
        <v>0.5</v>
      </c>
      <c r="CK47" s="27">
        <f t="shared" ca="1" si="159"/>
        <v>0.5</v>
      </c>
      <c r="CL47" s="27">
        <f t="shared" ca="1" si="160"/>
        <v>0.5</v>
      </c>
      <c r="CM47" s="27">
        <f t="shared" ca="1" si="161"/>
        <v>0.5</v>
      </c>
      <c r="CN47" s="45">
        <f t="shared" ca="1" si="162"/>
        <v>0.5</v>
      </c>
    </row>
    <row r="48" spans="3:92" x14ac:dyDescent="0.25">
      <c r="C48" t="str">
        <f t="shared" si="163"/>
        <v>gr2</v>
      </c>
      <c r="D48" t="s">
        <v>107</v>
      </c>
      <c r="E48" t="s">
        <v>50</v>
      </c>
      <c r="G48" s="12">
        <f t="shared" si="164"/>
        <v>15</v>
      </c>
      <c r="H48" s="13">
        <f t="shared" si="165"/>
        <v>11</v>
      </c>
      <c r="I48" s="13">
        <f t="shared" si="166"/>
        <v>16</v>
      </c>
      <c r="J48" s="13">
        <f t="shared" si="167"/>
        <v>12.2</v>
      </c>
      <c r="K48" s="13">
        <f t="shared" si="168"/>
        <v>9.8000000000000007</v>
      </c>
      <c r="L48" s="13">
        <f t="shared" si="169"/>
        <v>11.23</v>
      </c>
      <c r="M48" s="13">
        <f t="shared" si="170"/>
        <v>12</v>
      </c>
      <c r="N48" s="13">
        <f t="shared" si="171"/>
        <v>6.3</v>
      </c>
      <c r="O48" s="14">
        <f t="shared" si="172"/>
        <v>6.9</v>
      </c>
      <c r="Q48" s="12">
        <f t="shared" ref="Q48:Y48" ca="1" si="186">Q47</f>
        <v>-1.06</v>
      </c>
      <c r="R48" s="13">
        <f t="shared" ca="1" si="186"/>
        <v>1.45</v>
      </c>
      <c r="S48" s="13">
        <f t="shared" ca="1" si="186"/>
        <v>8.4999999999999964E-2</v>
      </c>
      <c r="T48" s="13">
        <f t="shared" ca="1" si="186"/>
        <v>-0.03</v>
      </c>
      <c r="U48" s="13">
        <f t="shared" ca="1" si="186"/>
        <v>-0.115</v>
      </c>
      <c r="V48" s="13">
        <f t="shared" ca="1" si="186"/>
        <v>-2.4999999999999994E-2</v>
      </c>
      <c r="W48" s="13">
        <f t="shared" ca="1" si="186"/>
        <v>-6.0000000000000005E-2</v>
      </c>
      <c r="X48" s="13">
        <f t="shared" ca="1" si="186"/>
        <v>0.11000000000000001</v>
      </c>
      <c r="Y48" s="14">
        <f t="shared" ca="1" si="186"/>
        <v>-0.09</v>
      </c>
      <c r="AA48" s="12">
        <f t="shared" ref="AA48:AI48" ca="1" si="187">RANDBETWEEN(0,AA112)/100-AA112/100/2</f>
        <v>0.25</v>
      </c>
      <c r="AB48" s="13">
        <f t="shared" ca="1" si="187"/>
        <v>-1.999999999999999E-2</v>
      </c>
      <c r="AC48" s="13">
        <f t="shared" ca="1" si="187"/>
        <v>-0.1</v>
      </c>
      <c r="AD48" s="13">
        <f t="shared" ca="1" si="187"/>
        <v>0.2</v>
      </c>
      <c r="AE48" s="13">
        <f t="shared" ca="1" si="187"/>
        <v>0</v>
      </c>
      <c r="AF48" s="13">
        <f t="shared" ca="1" si="187"/>
        <v>-7.0000000000000007E-2</v>
      </c>
      <c r="AG48" s="13">
        <f t="shared" ca="1" si="187"/>
        <v>-0.12</v>
      </c>
      <c r="AH48" s="13">
        <f t="shared" ca="1" si="187"/>
        <v>1.0000000000000009E-2</v>
      </c>
      <c r="AI48" s="14">
        <f t="shared" ca="1" si="187"/>
        <v>0.21999999999999997</v>
      </c>
      <c r="AK48" s="12"/>
      <c r="AL48" s="13"/>
      <c r="AM48" s="13" t="s">
        <v>18</v>
      </c>
      <c r="AN48" s="13">
        <v>30</v>
      </c>
      <c r="AO48" s="13"/>
      <c r="AP48" s="13"/>
      <c r="AQ48" s="13"/>
      <c r="AR48" s="13"/>
      <c r="AS48" s="14"/>
      <c r="AU48" s="12">
        <f t="shared" ca="1" si="122"/>
        <v>14.19</v>
      </c>
      <c r="AV48" s="13">
        <f t="shared" ca="1" si="123"/>
        <v>12.43</v>
      </c>
      <c r="AW48" s="13" t="e">
        <f t="shared" ca="1" si="124"/>
        <v>#VALUE!</v>
      </c>
      <c r="AX48" s="13">
        <f t="shared" ca="1" si="125"/>
        <v>42.37</v>
      </c>
      <c r="AY48" s="13">
        <f t="shared" ca="1" si="126"/>
        <v>9.6850000000000005</v>
      </c>
      <c r="AZ48" s="13">
        <f t="shared" ca="1" si="175"/>
        <v>11.135</v>
      </c>
      <c r="BA48" s="13">
        <f t="shared" ca="1" si="127"/>
        <v>11.82</v>
      </c>
      <c r="BB48" s="13">
        <f t="shared" ca="1" si="128"/>
        <v>6.42</v>
      </c>
      <c r="BC48" s="14">
        <f t="shared" ca="1" si="129"/>
        <v>7.03</v>
      </c>
      <c r="BD48" s="15" t="str">
        <f t="shared" si="36"/>
        <v>gr2</v>
      </c>
      <c r="BE48" s="27">
        <f t="shared" ca="1" si="130"/>
        <v>14.19</v>
      </c>
      <c r="BF48" s="28">
        <f t="shared" ca="1" si="131"/>
        <v>12.43</v>
      </c>
      <c r="BG48" s="28" t="e">
        <f t="shared" ca="1" si="132"/>
        <v>#VALUE!</v>
      </c>
      <c r="BH48" s="28" t="str">
        <f t="shared" ca="1" si="133"/>
        <v>high</v>
      </c>
      <c r="BI48" s="28">
        <f t="shared" ca="1" si="134"/>
        <v>9.6850000000000005</v>
      </c>
      <c r="BJ48" s="28">
        <f t="shared" ca="1" si="135"/>
        <v>11.135</v>
      </c>
      <c r="BK48" s="28">
        <f t="shared" ca="1" si="136"/>
        <v>11.82</v>
      </c>
      <c r="BL48" s="28">
        <f t="shared" ca="1" si="137"/>
        <v>6.42</v>
      </c>
      <c r="BM48" s="29">
        <f t="shared" ca="1" si="138"/>
        <v>7.03</v>
      </c>
      <c r="BO48" s="44" t="str">
        <f t="shared" si="139"/>
        <v>gr2</v>
      </c>
      <c r="BP48" s="40" t="str">
        <f t="shared" si="140"/>
        <v>2bios2</v>
      </c>
      <c r="BQ48" s="40" t="str">
        <f t="shared" si="141"/>
        <v>tech20</v>
      </c>
      <c r="BR48" s="27">
        <f t="shared" ca="1" si="142"/>
        <v>14.19</v>
      </c>
      <c r="BS48" s="27">
        <f t="shared" ca="1" si="143"/>
        <v>12.43</v>
      </c>
      <c r="BT48" s="27" t="e">
        <f t="shared" ca="1" si="144"/>
        <v>#VALUE!</v>
      </c>
      <c r="BU48" s="27">
        <f t="shared" ca="1" si="145"/>
        <v>47</v>
      </c>
      <c r="BV48" s="27">
        <f t="shared" ca="1" si="146"/>
        <v>9.6850000000000005</v>
      </c>
      <c r="BW48" s="27">
        <f t="shared" ca="1" si="147"/>
        <v>11.135</v>
      </c>
      <c r="BX48" s="27">
        <f t="shared" ca="1" si="148"/>
        <v>11.82</v>
      </c>
      <c r="BY48" s="27">
        <f t="shared" ca="1" si="149"/>
        <v>6.42</v>
      </c>
      <c r="BZ48" s="45">
        <f t="shared" ca="1" si="150"/>
        <v>7.03</v>
      </c>
      <c r="CC48" s="53" t="str">
        <f t="shared" si="151"/>
        <v>gr2</v>
      </c>
      <c r="CD48" s="54" t="str">
        <f t="shared" si="152"/>
        <v>2bios2</v>
      </c>
      <c r="CE48" s="54" t="str">
        <f t="shared" si="153"/>
        <v>tech20</v>
      </c>
      <c r="CF48" s="27">
        <f t="shared" ca="1" si="154"/>
        <v>0.5</v>
      </c>
      <c r="CG48" s="27">
        <f t="shared" ca="1" si="155"/>
        <v>0.5</v>
      </c>
      <c r="CH48" s="27" t="e">
        <f t="shared" ca="1" si="156"/>
        <v>#VALUE!</v>
      </c>
      <c r="CI48" s="27">
        <f t="shared" ca="1" si="157"/>
        <v>5</v>
      </c>
      <c r="CJ48" s="27">
        <f t="shared" ca="1" si="158"/>
        <v>0.5</v>
      </c>
      <c r="CK48" s="27">
        <f t="shared" ca="1" si="159"/>
        <v>0.5</v>
      </c>
      <c r="CL48" s="27">
        <f t="shared" ca="1" si="160"/>
        <v>0.5</v>
      </c>
      <c r="CM48" s="27">
        <f t="shared" ca="1" si="161"/>
        <v>0.5</v>
      </c>
      <c r="CN48" s="45">
        <f t="shared" ca="1" si="162"/>
        <v>0.5</v>
      </c>
    </row>
    <row r="49" spans="3:92" x14ac:dyDescent="0.25">
      <c r="C49" t="str">
        <f t="shared" si="163"/>
        <v>gr2</v>
      </c>
      <c r="D49" t="s">
        <v>108</v>
      </c>
      <c r="E49" t="s">
        <v>51</v>
      </c>
      <c r="G49" s="7">
        <f t="shared" si="164"/>
        <v>15</v>
      </c>
      <c r="H49" s="8">
        <f t="shared" si="165"/>
        <v>11</v>
      </c>
      <c r="I49" s="8">
        <f t="shared" si="166"/>
        <v>16</v>
      </c>
      <c r="J49" s="8">
        <f t="shared" si="167"/>
        <v>12.2</v>
      </c>
      <c r="K49" s="8">
        <f t="shared" si="168"/>
        <v>9.8000000000000007</v>
      </c>
      <c r="L49" s="8">
        <f t="shared" si="169"/>
        <v>11.23</v>
      </c>
      <c r="M49" s="8">
        <f t="shared" si="170"/>
        <v>12</v>
      </c>
      <c r="N49" s="8">
        <f t="shared" si="171"/>
        <v>6.3</v>
      </c>
      <c r="O49" s="9">
        <f t="shared" si="172"/>
        <v>6.9</v>
      </c>
      <c r="Q49" s="7">
        <f t="shared" ref="Q49:Y49" ca="1" si="188">RANDBETWEEN(0,Q112)/100-Q112/100/2</f>
        <v>1.0299999999999998</v>
      </c>
      <c r="R49" s="8">
        <f t="shared" ca="1" si="188"/>
        <v>-1.0000000000000009E-2</v>
      </c>
      <c r="S49" s="8">
        <f t="shared" ca="1" si="188"/>
        <v>-0.15500000000000003</v>
      </c>
      <c r="T49" s="8">
        <f t="shared" ca="1" si="188"/>
        <v>7.0000000000000007E-2</v>
      </c>
      <c r="U49" s="8">
        <f t="shared" ca="1" si="188"/>
        <v>0.10500000000000001</v>
      </c>
      <c r="V49" s="8">
        <f t="shared" ca="1" si="188"/>
        <v>4.5000000000000012E-2</v>
      </c>
      <c r="W49" s="8">
        <f t="shared" ca="1" si="188"/>
        <v>-1.0000000000000009E-2</v>
      </c>
      <c r="X49" s="8">
        <f t="shared" ca="1" si="188"/>
        <v>8.0000000000000016E-2</v>
      </c>
      <c r="Y49" s="9">
        <f t="shared" ca="1" si="188"/>
        <v>0.12000000000000002</v>
      </c>
      <c r="AA49" s="7">
        <f t="shared" ref="AA49:AI49" ca="1" si="189">RANDBETWEEN(0,AA112)/100-AA112/100/2</f>
        <v>-0.24</v>
      </c>
      <c r="AB49" s="8">
        <f t="shared" ca="1" si="189"/>
        <v>7.0000000000000007E-2</v>
      </c>
      <c r="AC49" s="8">
        <f t="shared" ca="1" si="189"/>
        <v>1.0000000000000009E-2</v>
      </c>
      <c r="AD49" s="8">
        <f t="shared" ca="1" si="189"/>
        <v>0.15999999999999998</v>
      </c>
      <c r="AE49" s="8">
        <f t="shared" ca="1" si="189"/>
        <v>2.0000000000000018E-2</v>
      </c>
      <c r="AF49" s="8">
        <f t="shared" ca="1" si="189"/>
        <v>7.0000000000000007E-2</v>
      </c>
      <c r="AG49" s="8">
        <f t="shared" ca="1" si="189"/>
        <v>-0.19</v>
      </c>
      <c r="AH49" s="8">
        <f t="shared" ca="1" si="189"/>
        <v>-0.1</v>
      </c>
      <c r="AI49" s="9">
        <f t="shared" ca="1" si="189"/>
        <v>1.0000000000000009E-2</v>
      </c>
      <c r="AK49" s="7"/>
      <c r="AL49" s="8"/>
      <c r="AM49" s="8" t="s">
        <v>18</v>
      </c>
      <c r="AN49" s="8"/>
      <c r="AO49" s="8"/>
      <c r="AP49" s="8"/>
      <c r="AQ49" s="8"/>
      <c r="AR49" s="8"/>
      <c r="AS49" s="9"/>
      <c r="AU49" s="10">
        <f t="shared" ca="1" si="122"/>
        <v>15.790000000000001</v>
      </c>
      <c r="AV49" s="6">
        <f t="shared" ca="1" si="123"/>
        <v>11.06</v>
      </c>
      <c r="AW49" s="6" t="e">
        <f t="shared" ca="1" si="124"/>
        <v>#VALUE!</v>
      </c>
      <c r="AX49" s="6">
        <f t="shared" ca="1" si="125"/>
        <v>12.43</v>
      </c>
      <c r="AY49" s="6">
        <f t="shared" ca="1" si="126"/>
        <v>9.9250000000000007</v>
      </c>
      <c r="AZ49" s="6">
        <f t="shared" ca="1" si="175"/>
        <v>11.345000000000001</v>
      </c>
      <c r="BA49" s="6">
        <f t="shared" ca="1" si="127"/>
        <v>11.8</v>
      </c>
      <c r="BB49" s="6">
        <f t="shared" ca="1" si="128"/>
        <v>6.28</v>
      </c>
      <c r="BC49" s="11">
        <f t="shared" ca="1" si="129"/>
        <v>7.03</v>
      </c>
      <c r="BD49" s="15" t="str">
        <f t="shared" si="36"/>
        <v>gr2</v>
      </c>
      <c r="BE49" s="24">
        <f t="shared" ca="1" si="130"/>
        <v>15.790000000000001</v>
      </c>
      <c r="BF49" s="25">
        <f t="shared" ca="1" si="131"/>
        <v>11.06</v>
      </c>
      <c r="BG49" s="25" t="e">
        <f t="shared" ca="1" si="132"/>
        <v>#VALUE!</v>
      </c>
      <c r="BH49" s="25">
        <f t="shared" ca="1" si="133"/>
        <v>12.43</v>
      </c>
      <c r="BI49" s="25">
        <f t="shared" ca="1" si="134"/>
        <v>9.9250000000000007</v>
      </c>
      <c r="BJ49" s="25">
        <f t="shared" ca="1" si="135"/>
        <v>11.345000000000001</v>
      </c>
      <c r="BK49" s="25">
        <f t="shared" ca="1" si="136"/>
        <v>11.8</v>
      </c>
      <c r="BL49" s="25">
        <f t="shared" ca="1" si="137"/>
        <v>6.28</v>
      </c>
      <c r="BM49" s="26">
        <f t="shared" ca="1" si="138"/>
        <v>7.03</v>
      </c>
      <c r="BO49" s="44" t="str">
        <f t="shared" si="139"/>
        <v>gr2</v>
      </c>
      <c r="BP49" s="40" t="str">
        <f t="shared" si="140"/>
        <v>2bios3</v>
      </c>
      <c r="BQ49" s="40" t="str">
        <f t="shared" si="141"/>
        <v>tech21</v>
      </c>
      <c r="BR49" s="27">
        <f t="shared" ca="1" si="142"/>
        <v>15.790000000000001</v>
      </c>
      <c r="BS49" s="27">
        <f t="shared" ca="1" si="143"/>
        <v>11.06</v>
      </c>
      <c r="BT49" s="27" t="e">
        <f t="shared" ca="1" si="144"/>
        <v>#VALUE!</v>
      </c>
      <c r="BU49" s="27">
        <f t="shared" ca="1" si="145"/>
        <v>12.43</v>
      </c>
      <c r="BV49" s="27">
        <f t="shared" ca="1" si="146"/>
        <v>9.9250000000000007</v>
      </c>
      <c r="BW49" s="27">
        <f t="shared" ca="1" si="147"/>
        <v>11.345000000000001</v>
      </c>
      <c r="BX49" s="27">
        <f t="shared" ca="1" si="148"/>
        <v>11.8</v>
      </c>
      <c r="BY49" s="27">
        <f t="shared" ca="1" si="149"/>
        <v>6.28</v>
      </c>
      <c r="BZ49" s="45">
        <f t="shared" ca="1" si="150"/>
        <v>7.03</v>
      </c>
      <c r="CC49" s="53" t="str">
        <f t="shared" si="151"/>
        <v>gr2</v>
      </c>
      <c r="CD49" s="54" t="str">
        <f t="shared" si="152"/>
        <v>2bios3</v>
      </c>
      <c r="CE49" s="54" t="str">
        <f t="shared" si="153"/>
        <v>tech21</v>
      </c>
      <c r="CF49" s="27">
        <f t="shared" ca="1" si="154"/>
        <v>0.5</v>
      </c>
      <c r="CG49" s="27">
        <f t="shared" ca="1" si="155"/>
        <v>0.5</v>
      </c>
      <c r="CH49" s="27" t="e">
        <f t="shared" ca="1" si="156"/>
        <v>#VALUE!</v>
      </c>
      <c r="CI49" s="27">
        <f t="shared" ca="1" si="157"/>
        <v>0.5</v>
      </c>
      <c r="CJ49" s="27">
        <f t="shared" ca="1" si="158"/>
        <v>0.5</v>
      </c>
      <c r="CK49" s="27">
        <f t="shared" ca="1" si="159"/>
        <v>0.5</v>
      </c>
      <c r="CL49" s="27">
        <f t="shared" ca="1" si="160"/>
        <v>0.5</v>
      </c>
      <c r="CM49" s="27">
        <f t="shared" ca="1" si="161"/>
        <v>0.5</v>
      </c>
      <c r="CN49" s="45">
        <f t="shared" ca="1" si="162"/>
        <v>0.5</v>
      </c>
    </row>
    <row r="50" spans="3:92" x14ac:dyDescent="0.25">
      <c r="C50" t="str">
        <f t="shared" si="163"/>
        <v>gr2</v>
      </c>
      <c r="D50" t="s">
        <v>108</v>
      </c>
      <c r="E50" t="s">
        <v>52</v>
      </c>
      <c r="G50" s="10">
        <f t="shared" si="164"/>
        <v>15</v>
      </c>
      <c r="H50" s="6">
        <f t="shared" si="165"/>
        <v>11</v>
      </c>
      <c r="I50" s="6">
        <f t="shared" si="166"/>
        <v>16</v>
      </c>
      <c r="J50" s="6">
        <f t="shared" si="167"/>
        <v>12.2</v>
      </c>
      <c r="K50" s="6">
        <f t="shared" si="168"/>
        <v>9.8000000000000007</v>
      </c>
      <c r="L50" s="6">
        <f t="shared" si="169"/>
        <v>11.23</v>
      </c>
      <c r="M50" s="6">
        <f t="shared" si="170"/>
        <v>12</v>
      </c>
      <c r="N50" s="6">
        <f t="shared" si="171"/>
        <v>6.3</v>
      </c>
      <c r="O50" s="11">
        <f t="shared" si="172"/>
        <v>6.9</v>
      </c>
      <c r="Q50" s="10">
        <f t="shared" ref="Q50:Y50" ca="1" si="190">Q49</f>
        <v>1.0299999999999998</v>
      </c>
      <c r="R50" s="6">
        <f t="shared" ca="1" si="190"/>
        <v>-1.0000000000000009E-2</v>
      </c>
      <c r="S50" s="6">
        <f t="shared" ca="1" si="190"/>
        <v>-0.15500000000000003</v>
      </c>
      <c r="T50" s="6">
        <f t="shared" ca="1" si="190"/>
        <v>7.0000000000000007E-2</v>
      </c>
      <c r="U50" s="6">
        <f t="shared" ca="1" si="190"/>
        <v>0.10500000000000001</v>
      </c>
      <c r="V50" s="6">
        <f t="shared" ca="1" si="190"/>
        <v>4.5000000000000012E-2</v>
      </c>
      <c r="W50" s="6">
        <f t="shared" ca="1" si="190"/>
        <v>-1.0000000000000009E-2</v>
      </c>
      <c r="X50" s="6">
        <f t="shared" ca="1" si="190"/>
        <v>8.0000000000000016E-2</v>
      </c>
      <c r="Y50" s="11">
        <f t="shared" ca="1" si="190"/>
        <v>0.12000000000000002</v>
      </c>
      <c r="AA50" s="10">
        <f t="shared" ref="AA50:AI50" ca="1" si="191">RANDBETWEEN(0,AA112)/100-AA112/100/2</f>
        <v>2.0000000000000018E-2</v>
      </c>
      <c r="AB50" s="6">
        <f t="shared" ca="1" si="191"/>
        <v>0.10999999999999999</v>
      </c>
      <c r="AC50" s="6">
        <f t="shared" ca="1" si="191"/>
        <v>-0.14000000000000001</v>
      </c>
      <c r="AD50" s="6">
        <f t="shared" ca="1" si="191"/>
        <v>-0.23</v>
      </c>
      <c r="AE50" s="6">
        <f t="shared" ca="1" si="191"/>
        <v>0</v>
      </c>
      <c r="AF50" s="6">
        <f t="shared" ca="1" si="191"/>
        <v>8.0000000000000016E-2</v>
      </c>
      <c r="AG50" s="6">
        <f t="shared" ca="1" si="191"/>
        <v>0.16999999999999998</v>
      </c>
      <c r="AH50" s="6">
        <f t="shared" ca="1" si="191"/>
        <v>-0.1</v>
      </c>
      <c r="AI50" s="11">
        <f t="shared" ca="1" si="191"/>
        <v>-0.21</v>
      </c>
      <c r="AK50" s="10" t="s">
        <v>18</v>
      </c>
      <c r="AL50" s="6"/>
      <c r="AM50" s="6" t="s">
        <v>18</v>
      </c>
      <c r="AN50" s="6"/>
      <c r="AO50" s="6"/>
      <c r="AP50" s="6" t="s">
        <v>18</v>
      </c>
      <c r="AQ50" s="6"/>
      <c r="AR50" s="6"/>
      <c r="AS50" s="11"/>
      <c r="AU50" s="10" t="e">
        <f t="shared" ca="1" si="122"/>
        <v>#VALUE!</v>
      </c>
      <c r="AV50" s="6">
        <f t="shared" ca="1" si="123"/>
        <v>11.1</v>
      </c>
      <c r="AW50" s="6" t="e">
        <f t="shared" ca="1" si="124"/>
        <v>#VALUE!</v>
      </c>
      <c r="AX50" s="6">
        <f t="shared" ca="1" si="125"/>
        <v>12.04</v>
      </c>
      <c r="AY50" s="6">
        <f t="shared" ca="1" si="126"/>
        <v>9.9050000000000011</v>
      </c>
      <c r="AZ50" s="6" t="e">
        <f t="shared" ca="1" si="175"/>
        <v>#VALUE!</v>
      </c>
      <c r="BA50" s="6">
        <f t="shared" ca="1" si="127"/>
        <v>12.16</v>
      </c>
      <c r="BB50" s="6">
        <f t="shared" ca="1" si="128"/>
        <v>6.28</v>
      </c>
      <c r="BC50" s="11">
        <f t="shared" ca="1" si="129"/>
        <v>6.8100000000000005</v>
      </c>
      <c r="BD50" s="15" t="str">
        <f t="shared" si="36"/>
        <v>gr2</v>
      </c>
      <c r="BE50" s="27" t="e">
        <f t="shared" ca="1" si="130"/>
        <v>#VALUE!</v>
      </c>
      <c r="BF50" s="28">
        <f t="shared" ca="1" si="131"/>
        <v>11.1</v>
      </c>
      <c r="BG50" s="28" t="e">
        <f t="shared" ca="1" si="132"/>
        <v>#VALUE!</v>
      </c>
      <c r="BH50" s="28">
        <f t="shared" ca="1" si="133"/>
        <v>12.04</v>
      </c>
      <c r="BI50" s="28">
        <f t="shared" ca="1" si="134"/>
        <v>9.9050000000000011</v>
      </c>
      <c r="BJ50" s="28" t="e">
        <f t="shared" ca="1" si="135"/>
        <v>#VALUE!</v>
      </c>
      <c r="BK50" s="28">
        <f t="shared" ca="1" si="136"/>
        <v>12.16</v>
      </c>
      <c r="BL50" s="28">
        <f t="shared" ca="1" si="137"/>
        <v>6.28</v>
      </c>
      <c r="BM50" s="29">
        <f t="shared" ca="1" si="138"/>
        <v>6.8100000000000005</v>
      </c>
      <c r="BO50" s="44" t="str">
        <f t="shared" si="139"/>
        <v>gr2</v>
      </c>
      <c r="BP50" s="40" t="str">
        <f t="shared" si="140"/>
        <v>2bios3</v>
      </c>
      <c r="BQ50" s="40" t="str">
        <f t="shared" si="141"/>
        <v>tech22</v>
      </c>
      <c r="BR50" s="27" t="e">
        <f t="shared" ca="1" si="142"/>
        <v>#VALUE!</v>
      </c>
      <c r="BS50" s="27">
        <f t="shared" ca="1" si="143"/>
        <v>11.1</v>
      </c>
      <c r="BT50" s="27" t="e">
        <f t="shared" ca="1" si="144"/>
        <v>#VALUE!</v>
      </c>
      <c r="BU50" s="27">
        <f t="shared" ca="1" si="145"/>
        <v>12.04</v>
      </c>
      <c r="BV50" s="27">
        <f t="shared" ca="1" si="146"/>
        <v>9.9050000000000011</v>
      </c>
      <c r="BW50" s="27" t="e">
        <f t="shared" ca="1" si="147"/>
        <v>#VALUE!</v>
      </c>
      <c r="BX50" s="27">
        <f t="shared" ca="1" si="148"/>
        <v>12.16</v>
      </c>
      <c r="BY50" s="27">
        <f t="shared" ca="1" si="149"/>
        <v>6.28</v>
      </c>
      <c r="BZ50" s="45">
        <f t="shared" ca="1" si="150"/>
        <v>6.8100000000000005</v>
      </c>
      <c r="CC50" s="53" t="str">
        <f t="shared" si="151"/>
        <v>gr2</v>
      </c>
      <c r="CD50" s="54" t="str">
        <f t="shared" si="152"/>
        <v>2bios3</v>
      </c>
      <c r="CE50" s="54" t="str">
        <f t="shared" si="153"/>
        <v>tech22</v>
      </c>
      <c r="CF50" s="27" t="e">
        <f t="shared" ca="1" si="154"/>
        <v>#VALUE!</v>
      </c>
      <c r="CG50" s="27">
        <f t="shared" ca="1" si="155"/>
        <v>0.5</v>
      </c>
      <c r="CH50" s="27" t="e">
        <f t="shared" ca="1" si="156"/>
        <v>#VALUE!</v>
      </c>
      <c r="CI50" s="27">
        <f t="shared" ca="1" si="157"/>
        <v>0.5</v>
      </c>
      <c r="CJ50" s="27">
        <f t="shared" ca="1" si="158"/>
        <v>0.5</v>
      </c>
      <c r="CK50" s="27" t="e">
        <f t="shared" ca="1" si="159"/>
        <v>#VALUE!</v>
      </c>
      <c r="CL50" s="27">
        <f t="shared" ca="1" si="160"/>
        <v>0.5</v>
      </c>
      <c r="CM50" s="27">
        <f t="shared" ca="1" si="161"/>
        <v>0.5</v>
      </c>
      <c r="CN50" s="45">
        <f t="shared" ca="1" si="162"/>
        <v>0.5</v>
      </c>
    </row>
    <row r="51" spans="3:92" x14ac:dyDescent="0.25">
      <c r="C51" t="str">
        <f t="shared" si="163"/>
        <v>gr2</v>
      </c>
      <c r="D51" t="s">
        <v>108</v>
      </c>
      <c r="E51" t="s">
        <v>53</v>
      </c>
      <c r="G51" s="10">
        <f t="shared" si="164"/>
        <v>15</v>
      </c>
      <c r="H51" s="6">
        <f t="shared" si="165"/>
        <v>11</v>
      </c>
      <c r="I51" s="6">
        <f t="shared" si="166"/>
        <v>16</v>
      </c>
      <c r="J51" s="6">
        <f t="shared" si="167"/>
        <v>12.2</v>
      </c>
      <c r="K51" s="6">
        <f t="shared" si="168"/>
        <v>9.8000000000000007</v>
      </c>
      <c r="L51" s="6">
        <f t="shared" si="169"/>
        <v>11.23</v>
      </c>
      <c r="M51" s="6">
        <f t="shared" si="170"/>
        <v>12</v>
      </c>
      <c r="N51" s="6">
        <f t="shared" si="171"/>
        <v>6.3</v>
      </c>
      <c r="O51" s="11">
        <f t="shared" si="172"/>
        <v>6.9</v>
      </c>
      <c r="Q51" s="10">
        <f t="shared" ref="Q51:Y51" ca="1" si="192">Q50</f>
        <v>1.0299999999999998</v>
      </c>
      <c r="R51" s="6">
        <f t="shared" ca="1" si="192"/>
        <v>-1.0000000000000009E-2</v>
      </c>
      <c r="S51" s="6">
        <f t="shared" ca="1" si="192"/>
        <v>-0.15500000000000003</v>
      </c>
      <c r="T51" s="6">
        <f t="shared" ca="1" si="192"/>
        <v>7.0000000000000007E-2</v>
      </c>
      <c r="U51" s="6">
        <f t="shared" ca="1" si="192"/>
        <v>0.10500000000000001</v>
      </c>
      <c r="V51" s="6">
        <f t="shared" ca="1" si="192"/>
        <v>4.5000000000000012E-2</v>
      </c>
      <c r="W51" s="6">
        <f t="shared" ca="1" si="192"/>
        <v>-1.0000000000000009E-2</v>
      </c>
      <c r="X51" s="6">
        <f t="shared" ca="1" si="192"/>
        <v>8.0000000000000016E-2</v>
      </c>
      <c r="Y51" s="11">
        <f t="shared" ca="1" si="192"/>
        <v>0.12000000000000002</v>
      </c>
      <c r="AA51" s="10">
        <f t="shared" ref="AA51:AI51" ca="1" si="193">RANDBETWEEN(0,AA112)/100-AA112/100/2</f>
        <v>-0.14000000000000001</v>
      </c>
      <c r="AB51" s="6">
        <f t="shared" ca="1" si="193"/>
        <v>-0.23</v>
      </c>
      <c r="AC51" s="6">
        <f t="shared" ca="1" si="193"/>
        <v>-4.0000000000000008E-2</v>
      </c>
      <c r="AD51" s="6">
        <f t="shared" ca="1" si="193"/>
        <v>0.25</v>
      </c>
      <c r="AE51" s="6">
        <f t="shared" ca="1" si="193"/>
        <v>-0.18</v>
      </c>
      <c r="AF51" s="6">
        <f t="shared" ca="1" si="193"/>
        <v>-0.21</v>
      </c>
      <c r="AG51" s="6">
        <f t="shared" ca="1" si="193"/>
        <v>0.15999999999999998</v>
      </c>
      <c r="AH51" s="6">
        <f t="shared" ca="1" si="193"/>
        <v>0.15999999999999998</v>
      </c>
      <c r="AI51" s="11">
        <f t="shared" ca="1" si="193"/>
        <v>-0.2</v>
      </c>
      <c r="AK51" s="10"/>
      <c r="AL51" s="6"/>
      <c r="AM51" s="6" t="s">
        <v>18</v>
      </c>
      <c r="AN51" s="6"/>
      <c r="AO51" s="6"/>
      <c r="AP51" s="6"/>
      <c r="AQ51" s="6"/>
      <c r="AR51" s="6"/>
      <c r="AS51" s="11"/>
      <c r="AU51" s="10">
        <f t="shared" ca="1" si="122"/>
        <v>15.89</v>
      </c>
      <c r="AV51" s="6">
        <f t="shared" ca="1" si="123"/>
        <v>10.76</v>
      </c>
      <c r="AW51" s="6" t="e">
        <f t="shared" ca="1" si="124"/>
        <v>#VALUE!</v>
      </c>
      <c r="AX51" s="6">
        <f t="shared" ca="1" si="125"/>
        <v>12.52</v>
      </c>
      <c r="AY51" s="6">
        <f t="shared" ca="1" si="126"/>
        <v>9.7250000000000014</v>
      </c>
      <c r="AZ51" s="6">
        <f t="shared" ca="1" si="175"/>
        <v>11.065</v>
      </c>
      <c r="BA51" s="6">
        <f t="shared" ca="1" si="127"/>
        <v>12.15</v>
      </c>
      <c r="BB51" s="6">
        <f t="shared" ca="1" si="128"/>
        <v>6.54</v>
      </c>
      <c r="BC51" s="11">
        <f t="shared" ca="1" si="129"/>
        <v>6.82</v>
      </c>
      <c r="BD51" s="15" t="str">
        <f t="shared" si="36"/>
        <v>gr2</v>
      </c>
      <c r="BE51" s="27">
        <f t="shared" ca="1" si="130"/>
        <v>15.89</v>
      </c>
      <c r="BF51" s="28">
        <f t="shared" ca="1" si="131"/>
        <v>10.76</v>
      </c>
      <c r="BG51" s="28" t="e">
        <f t="shared" ca="1" si="132"/>
        <v>#VALUE!</v>
      </c>
      <c r="BH51" s="28">
        <f t="shared" ca="1" si="133"/>
        <v>12.52</v>
      </c>
      <c r="BI51" s="28">
        <f t="shared" ca="1" si="134"/>
        <v>9.7250000000000014</v>
      </c>
      <c r="BJ51" s="28">
        <f t="shared" ca="1" si="135"/>
        <v>11.065</v>
      </c>
      <c r="BK51" s="28">
        <f t="shared" ca="1" si="136"/>
        <v>12.15</v>
      </c>
      <c r="BL51" s="28">
        <f t="shared" ca="1" si="137"/>
        <v>6.54</v>
      </c>
      <c r="BM51" s="29">
        <f t="shared" ca="1" si="138"/>
        <v>6.82</v>
      </c>
      <c r="BO51" s="44" t="str">
        <f t="shared" si="139"/>
        <v>gr2</v>
      </c>
      <c r="BP51" s="40" t="str">
        <f t="shared" si="140"/>
        <v>2bios3</v>
      </c>
      <c r="BQ51" s="40" t="str">
        <f t="shared" si="141"/>
        <v>tech23</v>
      </c>
      <c r="BR51" s="27">
        <f t="shared" ca="1" si="142"/>
        <v>15.89</v>
      </c>
      <c r="BS51" s="27">
        <f t="shared" ca="1" si="143"/>
        <v>10.76</v>
      </c>
      <c r="BT51" s="27" t="e">
        <f t="shared" ca="1" si="144"/>
        <v>#VALUE!</v>
      </c>
      <c r="BU51" s="27">
        <f t="shared" ca="1" si="145"/>
        <v>12.52</v>
      </c>
      <c r="BV51" s="27">
        <f t="shared" ca="1" si="146"/>
        <v>9.7250000000000014</v>
      </c>
      <c r="BW51" s="27">
        <f t="shared" ca="1" si="147"/>
        <v>11.065</v>
      </c>
      <c r="BX51" s="27">
        <f t="shared" ca="1" si="148"/>
        <v>12.15</v>
      </c>
      <c r="BY51" s="27">
        <f t="shared" ca="1" si="149"/>
        <v>6.54</v>
      </c>
      <c r="BZ51" s="45">
        <f t="shared" ca="1" si="150"/>
        <v>6.82</v>
      </c>
      <c r="CC51" s="53" t="str">
        <f t="shared" si="151"/>
        <v>gr2</v>
      </c>
      <c r="CD51" s="54" t="str">
        <f t="shared" si="152"/>
        <v>2bios3</v>
      </c>
      <c r="CE51" s="54" t="str">
        <f t="shared" si="153"/>
        <v>tech23</v>
      </c>
      <c r="CF51" s="27">
        <f t="shared" ca="1" si="154"/>
        <v>0.5</v>
      </c>
      <c r="CG51" s="27">
        <f t="shared" ca="1" si="155"/>
        <v>0.5</v>
      </c>
      <c r="CH51" s="27" t="e">
        <f t="shared" ca="1" si="156"/>
        <v>#VALUE!</v>
      </c>
      <c r="CI51" s="27">
        <f t="shared" ca="1" si="157"/>
        <v>0.5</v>
      </c>
      <c r="CJ51" s="27">
        <f t="shared" ca="1" si="158"/>
        <v>0.5</v>
      </c>
      <c r="CK51" s="27">
        <f t="shared" ca="1" si="159"/>
        <v>0.5</v>
      </c>
      <c r="CL51" s="27">
        <f t="shared" ca="1" si="160"/>
        <v>0.5</v>
      </c>
      <c r="CM51" s="27">
        <f t="shared" ca="1" si="161"/>
        <v>0.5</v>
      </c>
      <c r="CN51" s="45">
        <f t="shared" ca="1" si="162"/>
        <v>0.5</v>
      </c>
    </row>
    <row r="52" spans="3:92" x14ac:dyDescent="0.25">
      <c r="C52" t="str">
        <f t="shared" si="163"/>
        <v>gr2</v>
      </c>
      <c r="D52" t="s">
        <v>108</v>
      </c>
      <c r="E52" t="s">
        <v>54</v>
      </c>
      <c r="G52" s="12">
        <f t="shared" si="164"/>
        <v>15</v>
      </c>
      <c r="H52" s="13">
        <f t="shared" si="165"/>
        <v>11</v>
      </c>
      <c r="I52" s="13">
        <f t="shared" si="166"/>
        <v>16</v>
      </c>
      <c r="J52" s="13">
        <f t="shared" si="167"/>
        <v>12.2</v>
      </c>
      <c r="K52" s="13">
        <f t="shared" si="168"/>
        <v>9.8000000000000007</v>
      </c>
      <c r="L52" s="13">
        <f t="shared" si="169"/>
        <v>11.23</v>
      </c>
      <c r="M52" s="13">
        <f t="shared" si="170"/>
        <v>12</v>
      </c>
      <c r="N52" s="13">
        <f t="shared" si="171"/>
        <v>6.3</v>
      </c>
      <c r="O52" s="14">
        <f t="shared" si="172"/>
        <v>6.9</v>
      </c>
      <c r="Q52" s="12">
        <f t="shared" ref="Q52:Y52" ca="1" si="194">Q51</f>
        <v>1.0299999999999998</v>
      </c>
      <c r="R52" s="13">
        <f t="shared" ca="1" si="194"/>
        <v>-1.0000000000000009E-2</v>
      </c>
      <c r="S52" s="13">
        <f t="shared" ca="1" si="194"/>
        <v>-0.15500000000000003</v>
      </c>
      <c r="T52" s="13">
        <f t="shared" ca="1" si="194"/>
        <v>7.0000000000000007E-2</v>
      </c>
      <c r="U52" s="13">
        <f t="shared" ca="1" si="194"/>
        <v>0.10500000000000001</v>
      </c>
      <c r="V52" s="13">
        <f t="shared" ca="1" si="194"/>
        <v>4.5000000000000012E-2</v>
      </c>
      <c r="W52" s="13">
        <f t="shared" ca="1" si="194"/>
        <v>-1.0000000000000009E-2</v>
      </c>
      <c r="X52" s="13">
        <f t="shared" ca="1" si="194"/>
        <v>8.0000000000000016E-2</v>
      </c>
      <c r="Y52" s="14">
        <f t="shared" ca="1" si="194"/>
        <v>0.12000000000000002</v>
      </c>
      <c r="AA52" s="12">
        <f t="shared" ref="AA52:AI52" ca="1" si="195">RANDBETWEEN(0,AA112)/100-AA112/100/2</f>
        <v>-0.16999999999999998</v>
      </c>
      <c r="AB52" s="13">
        <f t="shared" ca="1" si="195"/>
        <v>-7.9999999999999988E-2</v>
      </c>
      <c r="AC52" s="13">
        <f t="shared" ca="1" si="195"/>
        <v>0.24</v>
      </c>
      <c r="AD52" s="13">
        <f t="shared" ca="1" si="195"/>
        <v>-0.12</v>
      </c>
      <c r="AE52" s="13">
        <f t="shared" ca="1" si="195"/>
        <v>0.12</v>
      </c>
      <c r="AF52" s="13">
        <f t="shared" ca="1" si="195"/>
        <v>0.13</v>
      </c>
      <c r="AG52" s="13">
        <f t="shared" ca="1" si="195"/>
        <v>0.14000000000000001</v>
      </c>
      <c r="AH52" s="13">
        <f t="shared" ca="1" si="195"/>
        <v>-0.22</v>
      </c>
      <c r="AI52" s="14">
        <f t="shared" ca="1" si="195"/>
        <v>7.0000000000000007E-2</v>
      </c>
      <c r="AK52" s="12"/>
      <c r="AL52" s="13"/>
      <c r="AM52" s="13" t="s">
        <v>18</v>
      </c>
      <c r="AN52" s="13"/>
      <c r="AO52" s="13"/>
      <c r="AP52" s="13"/>
      <c r="AQ52" s="13"/>
      <c r="AR52" s="13"/>
      <c r="AS52" s="14"/>
      <c r="AU52" s="12">
        <f t="shared" ca="1" si="122"/>
        <v>15.860000000000001</v>
      </c>
      <c r="AV52" s="13">
        <f t="shared" ca="1" si="123"/>
        <v>10.91</v>
      </c>
      <c r="AW52" s="13" t="e">
        <f t="shared" ca="1" si="124"/>
        <v>#VALUE!</v>
      </c>
      <c r="AX52" s="13">
        <f t="shared" ca="1" si="125"/>
        <v>12.15</v>
      </c>
      <c r="AY52" s="13">
        <f t="shared" ca="1" si="126"/>
        <v>10.025</v>
      </c>
      <c r="AZ52" s="13">
        <f t="shared" ca="1" si="175"/>
        <v>11.405000000000001</v>
      </c>
      <c r="BA52" s="13">
        <f t="shared" ca="1" si="127"/>
        <v>12.13</v>
      </c>
      <c r="BB52" s="13">
        <f t="shared" ca="1" si="128"/>
        <v>6.16</v>
      </c>
      <c r="BC52" s="14">
        <f t="shared" ca="1" si="129"/>
        <v>7.0900000000000007</v>
      </c>
      <c r="BD52" s="15" t="str">
        <f t="shared" si="36"/>
        <v>gr2</v>
      </c>
      <c r="BE52" s="30">
        <f t="shared" ca="1" si="130"/>
        <v>15.860000000000001</v>
      </c>
      <c r="BF52" s="31">
        <f t="shared" ca="1" si="131"/>
        <v>10.91</v>
      </c>
      <c r="BG52" s="31" t="e">
        <f t="shared" ca="1" si="132"/>
        <v>#VALUE!</v>
      </c>
      <c r="BH52" s="31">
        <f t="shared" ca="1" si="133"/>
        <v>12.15</v>
      </c>
      <c r="BI52" s="31">
        <f t="shared" ca="1" si="134"/>
        <v>10.025</v>
      </c>
      <c r="BJ52" s="31">
        <f t="shared" ca="1" si="135"/>
        <v>11.405000000000001</v>
      </c>
      <c r="BK52" s="31">
        <f t="shared" ca="1" si="136"/>
        <v>12.13</v>
      </c>
      <c r="BL52" s="31">
        <f t="shared" ca="1" si="137"/>
        <v>6.16</v>
      </c>
      <c r="BM52" s="32">
        <f t="shared" ca="1" si="138"/>
        <v>7.0900000000000007</v>
      </c>
      <c r="BO52" s="44" t="str">
        <f t="shared" si="139"/>
        <v>gr2</v>
      </c>
      <c r="BP52" s="40" t="str">
        <f t="shared" si="140"/>
        <v>2bios3</v>
      </c>
      <c r="BQ52" s="40" t="str">
        <f t="shared" si="141"/>
        <v>tech24</v>
      </c>
      <c r="BR52" s="27">
        <f t="shared" ca="1" si="142"/>
        <v>15.860000000000001</v>
      </c>
      <c r="BS52" s="27">
        <f t="shared" ca="1" si="143"/>
        <v>10.91</v>
      </c>
      <c r="BT52" s="27" t="e">
        <f t="shared" ca="1" si="144"/>
        <v>#VALUE!</v>
      </c>
      <c r="BU52" s="27">
        <f t="shared" ca="1" si="145"/>
        <v>12.15</v>
      </c>
      <c r="BV52" s="27">
        <f t="shared" ca="1" si="146"/>
        <v>10.025</v>
      </c>
      <c r="BW52" s="27">
        <f t="shared" ca="1" si="147"/>
        <v>11.405000000000001</v>
      </c>
      <c r="BX52" s="27">
        <f t="shared" ca="1" si="148"/>
        <v>12.13</v>
      </c>
      <c r="BY52" s="27">
        <f t="shared" ca="1" si="149"/>
        <v>6.16</v>
      </c>
      <c r="BZ52" s="45">
        <f t="shared" ca="1" si="150"/>
        <v>7.0900000000000007</v>
      </c>
      <c r="CC52" s="53" t="str">
        <f t="shared" si="151"/>
        <v>gr2</v>
      </c>
      <c r="CD52" s="54" t="str">
        <f t="shared" si="152"/>
        <v>2bios3</v>
      </c>
      <c r="CE52" s="54" t="str">
        <f t="shared" si="153"/>
        <v>tech24</v>
      </c>
      <c r="CF52" s="27">
        <f t="shared" ca="1" si="154"/>
        <v>0.5</v>
      </c>
      <c r="CG52" s="27">
        <f t="shared" ca="1" si="155"/>
        <v>0.5</v>
      </c>
      <c r="CH52" s="27" t="e">
        <f t="shared" ca="1" si="156"/>
        <v>#VALUE!</v>
      </c>
      <c r="CI52" s="27">
        <f t="shared" ca="1" si="157"/>
        <v>0.5</v>
      </c>
      <c r="CJ52" s="27">
        <f t="shared" ca="1" si="158"/>
        <v>0.5</v>
      </c>
      <c r="CK52" s="27">
        <f t="shared" ca="1" si="159"/>
        <v>0.5</v>
      </c>
      <c r="CL52" s="27">
        <f t="shared" ca="1" si="160"/>
        <v>0.5</v>
      </c>
      <c r="CM52" s="27">
        <f t="shared" ca="1" si="161"/>
        <v>0.5</v>
      </c>
      <c r="CN52" s="45">
        <f t="shared" ca="1" si="162"/>
        <v>0.5</v>
      </c>
    </row>
    <row r="53" spans="3:92" x14ac:dyDescent="0.25">
      <c r="BD53" s="15"/>
      <c r="BO53" s="44"/>
      <c r="BP53" s="40"/>
      <c r="BQ53" s="40"/>
      <c r="BR53" s="27"/>
      <c r="BS53" s="27"/>
      <c r="BT53" s="27"/>
      <c r="BU53" s="27"/>
      <c r="BV53" s="27"/>
      <c r="BW53" s="27"/>
      <c r="BX53" s="27"/>
      <c r="BY53" s="27"/>
      <c r="BZ53" s="45"/>
      <c r="CC53" s="53"/>
      <c r="CD53" s="54"/>
      <c r="CE53" s="54"/>
      <c r="CF53" s="27"/>
      <c r="CG53" s="27"/>
      <c r="CH53" s="27"/>
      <c r="CI53" s="27"/>
      <c r="CJ53" s="27"/>
      <c r="CK53" s="27"/>
      <c r="CL53" s="27"/>
      <c r="CM53" s="27"/>
      <c r="CN53" s="45"/>
    </row>
    <row r="54" spans="3:92" x14ac:dyDescent="0.25">
      <c r="C54" t="str">
        <f>F$9</f>
        <v>gr3</v>
      </c>
      <c r="D54" t="s">
        <v>109</v>
      </c>
      <c r="E54" t="s">
        <v>55</v>
      </c>
      <c r="G54" s="7">
        <f t="shared" ref="G54:O54" si="196">G18</f>
        <v>13</v>
      </c>
      <c r="H54" s="8">
        <f t="shared" si="196"/>
        <v>25</v>
      </c>
      <c r="I54" s="8">
        <f t="shared" si="196"/>
        <v>20</v>
      </c>
      <c r="J54" s="8">
        <f t="shared" si="196"/>
        <v>16.259999999999998</v>
      </c>
      <c r="K54" s="8">
        <f t="shared" si="196"/>
        <v>13.7</v>
      </c>
      <c r="L54" s="8">
        <f t="shared" si="196"/>
        <v>14.9</v>
      </c>
      <c r="M54" s="8">
        <f t="shared" si="196"/>
        <v>22.9</v>
      </c>
      <c r="N54" s="8">
        <f t="shared" si="196"/>
        <v>13.23</v>
      </c>
      <c r="O54" s="9">
        <f t="shared" si="196"/>
        <v>18.84</v>
      </c>
      <c r="Q54" s="7">
        <f t="shared" ref="Q54:Y54" ca="1" si="197">RANDBETWEEN(0,Q113)/100-Q113/100/2</f>
        <v>1.2599999999999998</v>
      </c>
      <c r="R54" s="8">
        <f t="shared" ca="1" si="197"/>
        <v>-1.37</v>
      </c>
      <c r="S54" s="8">
        <f t="shared" ca="1" si="197"/>
        <v>-0.16</v>
      </c>
      <c r="T54" s="8">
        <f t="shared" ca="1" si="197"/>
        <v>5.999999999999997E-2</v>
      </c>
      <c r="U54" s="8">
        <f t="shared" ca="1" si="197"/>
        <v>0.03</v>
      </c>
      <c r="V54" s="8">
        <f t="shared" ca="1" si="197"/>
        <v>-0.14000000000000001</v>
      </c>
      <c r="W54" s="8">
        <f t="shared" ca="1" si="197"/>
        <v>1.0000000000000009E-2</v>
      </c>
      <c r="X54" s="8">
        <f t="shared" ca="1" si="197"/>
        <v>8.0000000000000016E-2</v>
      </c>
      <c r="Y54" s="9">
        <f t="shared" ca="1" si="197"/>
        <v>1.0000000000000009E-2</v>
      </c>
      <c r="Z54" s="10"/>
      <c r="AA54" s="7">
        <f t="shared" ref="AA54:AI54" ca="1" si="198">RANDBETWEEN(0,AA113)/100-AA113/100/2</f>
        <v>-7.0000000000000007E-2</v>
      </c>
      <c r="AB54" s="8">
        <f t="shared" ca="1" si="198"/>
        <v>0.21000000000000002</v>
      </c>
      <c r="AC54" s="8">
        <f t="shared" ca="1" si="198"/>
        <v>-0.19</v>
      </c>
      <c r="AD54" s="8">
        <f t="shared" ca="1" si="198"/>
        <v>-4.9999999999999989E-2</v>
      </c>
      <c r="AE54" s="8">
        <f t="shared" ca="1" si="198"/>
        <v>-1.999999999999999E-2</v>
      </c>
      <c r="AF54" s="8">
        <f t="shared" ca="1" si="198"/>
        <v>-0.03</v>
      </c>
      <c r="AG54" s="8">
        <f t="shared" ca="1" si="198"/>
        <v>9.0000000000000024E-2</v>
      </c>
      <c r="AH54" s="8">
        <f t="shared" ca="1" si="198"/>
        <v>-0.2</v>
      </c>
      <c r="AI54" s="9">
        <f t="shared" ca="1" si="198"/>
        <v>-0.03</v>
      </c>
      <c r="AK54" s="7"/>
      <c r="AL54" s="8"/>
      <c r="AM54" s="8" t="s">
        <v>18</v>
      </c>
      <c r="AN54" s="8"/>
      <c r="AO54" s="8"/>
      <c r="AP54" s="8"/>
      <c r="AQ54" s="8"/>
      <c r="AR54" s="8"/>
      <c r="AS54" s="9"/>
      <c r="AU54" s="7">
        <f t="shared" ref="AU54:AU65" ca="1" si="199">IF(AK54=$AK$25,G54+Q54+AA54+AK54,IFERROR(G54+Q54+AA54+AK54,AK54))</f>
        <v>14.19</v>
      </c>
      <c r="AV54" s="8">
        <f t="shared" ref="AV54:AV65" ca="1" si="200">IF(AL54=$AK$25,H54+R54+AB54+AL54,IFERROR(H54+R54+AB54+AL54,AL54))</f>
        <v>23.84</v>
      </c>
      <c r="AW54" s="8" t="e">
        <f t="shared" ref="AW54:AW65" ca="1" si="201">IF(AM54=$AK$25,I54+S54+AC54+AM54,IFERROR(I54+S54+AC54+AM54,AM54))</f>
        <v>#VALUE!</v>
      </c>
      <c r="AX54" s="8">
        <f t="shared" ref="AX54:AX65" ca="1" si="202">IF(AN54=$AK$25,J54+T54+AD54+AN54,IFERROR(J54+T54+AD54+AN54,AN54))</f>
        <v>16.269999999999996</v>
      </c>
      <c r="AY54" s="8">
        <f t="shared" ref="AY54:AY65" ca="1" si="203">IF(AO54=$AK$25,K54+U54+AE54+AO54,IFERROR(K54+U54+AE54+AO54,AO54))</f>
        <v>13.709999999999999</v>
      </c>
      <c r="AZ54" s="8">
        <f ca="1">IF(AP54=$AK$25,L54+V54+AF54+AP54,IFERROR(L54+V54+AF54+AP54,AP54))</f>
        <v>14.73</v>
      </c>
      <c r="BA54" s="8">
        <f t="shared" ref="BA54:BA65" ca="1" si="204">IF(AQ54=$AK$25,M54+W54+AG54+AQ54,IFERROR(M54+W54+AG54+AQ54,AQ54))</f>
        <v>23</v>
      </c>
      <c r="BB54" s="8">
        <f t="shared" ref="BB54:BB65" ca="1" si="205">IF(AR54=$AK$25,N54+X54+AH54+AR54,IFERROR(N54+X54+AH54+AR54,AR54))</f>
        <v>13.110000000000001</v>
      </c>
      <c r="BC54" s="9">
        <f t="shared" ref="BC54:BC65" ca="1" si="206">IF(AS54=$AK$25,O54+Y54+AI54+AS54,IFERROR(O54+Y54+AI54+AS54,AS54))</f>
        <v>18.82</v>
      </c>
      <c r="BD54" s="15" t="str">
        <f t="shared" si="36"/>
        <v>gr3</v>
      </c>
      <c r="BE54" s="24">
        <f t="shared" ca="1" si="130"/>
        <v>14.19</v>
      </c>
      <c r="BF54" s="25">
        <f t="shared" ca="1" si="131"/>
        <v>23.84</v>
      </c>
      <c r="BG54" s="25" t="e">
        <f t="shared" ca="1" si="132"/>
        <v>#VALUE!</v>
      </c>
      <c r="BH54" s="25">
        <f t="shared" ca="1" si="133"/>
        <v>16.269999999999996</v>
      </c>
      <c r="BI54" s="25">
        <f t="shared" ca="1" si="134"/>
        <v>13.709999999999999</v>
      </c>
      <c r="BJ54" s="25">
        <f t="shared" ca="1" si="135"/>
        <v>14.73</v>
      </c>
      <c r="BK54" s="25">
        <f t="shared" ca="1" si="136"/>
        <v>23</v>
      </c>
      <c r="BL54" s="25">
        <f t="shared" ca="1" si="137"/>
        <v>13.110000000000001</v>
      </c>
      <c r="BM54" s="26">
        <f t="shared" ca="1" si="138"/>
        <v>18.82</v>
      </c>
      <c r="BO54" s="44" t="str">
        <f t="shared" ref="BO54:BO65" si="207">C54</f>
        <v>gr3</v>
      </c>
      <c r="BP54" s="40" t="str">
        <f t="shared" ref="BP54:BP65" si="208">D54</f>
        <v>3bios1</v>
      </c>
      <c r="BQ54" s="40" t="str">
        <f t="shared" ref="BQ54:BQ65" si="209">E54</f>
        <v>tech25</v>
      </c>
      <c r="BR54" s="27">
        <f t="shared" ref="BR54:BR65" ca="1" si="210">IF(BE54="low",$BR$26,IF(BE54="high",$BS$26,BE54))</f>
        <v>14.19</v>
      </c>
      <c r="BS54" s="27">
        <f t="shared" ref="BS54:BS65" ca="1" si="211">IF(BF54="low",$BR$26,IF(BF54="high",$BS$26,BF54))</f>
        <v>23.84</v>
      </c>
      <c r="BT54" s="27" t="e">
        <f t="shared" ref="BT54:BT65" ca="1" si="212">IF(BG54="low",$BR$26,IF(BG54="high",$BS$26,BG54))</f>
        <v>#VALUE!</v>
      </c>
      <c r="BU54" s="27">
        <f t="shared" ref="BU54:BU65" ca="1" si="213">IF(BH54="low",$BR$26,IF(BH54="high",$BS$26,BH54))</f>
        <v>16.269999999999996</v>
      </c>
      <c r="BV54" s="27">
        <f t="shared" ref="BV54:BV65" ca="1" si="214">IF(BI54="low",$BR$26,IF(BI54="high",$BS$26,BI54))</f>
        <v>13.709999999999999</v>
      </c>
      <c r="BW54" s="27">
        <f t="shared" ref="BW54:BW65" ca="1" si="215">IF(BJ54="low",$BR$26,IF(BJ54="high",$BS$26,BJ54))</f>
        <v>14.73</v>
      </c>
      <c r="BX54" s="27">
        <f t="shared" ref="BX54:BX65" ca="1" si="216">IF(BK54="low",$BR$26,IF(BK54="high",$BS$26,BK54))</f>
        <v>23</v>
      </c>
      <c r="BY54" s="27">
        <f t="shared" ref="BY54:BY65" ca="1" si="217">IF(BL54="low",$BR$26,IF(BL54="high",$BS$26,BL54))</f>
        <v>13.110000000000001</v>
      </c>
      <c r="BZ54" s="45">
        <f t="shared" ref="BZ54:BZ65" ca="1" si="218">IF(BM54="low",$BR$26,IF(BM54="high",$BS$26,BM54))</f>
        <v>18.82</v>
      </c>
      <c r="CC54" s="53" t="str">
        <f t="shared" ref="CC54:CC65" si="219">BO54</f>
        <v>gr3</v>
      </c>
      <c r="CD54" s="54" t="str">
        <f t="shared" ref="CD54:CD65" si="220">BP54</f>
        <v>3bios1</v>
      </c>
      <c r="CE54" s="54" t="str">
        <f t="shared" ref="CE54:CE65" si="221">BQ54</f>
        <v>tech25</v>
      </c>
      <c r="CF54" s="27">
        <f t="shared" ref="CF54:CF65" ca="1" si="222">IF(BE54="low",$BT$26,IF(BE54="high",$BT$26,$BU$26))</f>
        <v>0.5</v>
      </c>
      <c r="CG54" s="27">
        <f t="shared" ref="CG54:CG65" ca="1" si="223">IF(BF54="low",$BT$26,IF(BF54="high",$BT$26,$BU$26))</f>
        <v>0.5</v>
      </c>
      <c r="CH54" s="27" t="e">
        <f t="shared" ref="CH54:CH65" ca="1" si="224">IF(BG54="low",$BT$26,IF(BG54="high",$BT$26,$BU$26))</f>
        <v>#VALUE!</v>
      </c>
      <c r="CI54" s="27">
        <f t="shared" ref="CI54:CI65" ca="1" si="225">IF(BH54="low",$BT$26,IF(BH54="high",$BT$26,$BU$26))</f>
        <v>0.5</v>
      </c>
      <c r="CJ54" s="27">
        <f t="shared" ref="CJ54:CJ65" ca="1" si="226">IF(BI54="low",$BT$26,IF(BI54="high",$BT$26,$BU$26))</f>
        <v>0.5</v>
      </c>
      <c r="CK54" s="27">
        <f t="shared" ref="CK54:CK65" ca="1" si="227">IF(BJ54="low",$BT$26,IF(BJ54="high",$BT$26,$BU$26))</f>
        <v>0.5</v>
      </c>
      <c r="CL54" s="27">
        <f t="shared" ref="CL54:CL65" ca="1" si="228">IF(BK54="low",$BT$26,IF(BK54="high",$BT$26,$BU$26))</f>
        <v>0.5</v>
      </c>
      <c r="CM54" s="27">
        <f t="shared" ref="CM54:CM65" ca="1" si="229">IF(BL54="low",$BT$26,IF(BL54="high",$BT$26,$BU$26))</f>
        <v>0.5</v>
      </c>
      <c r="CN54" s="45">
        <f t="shared" ref="CN54:CN65" ca="1" si="230">IF(BM54="low",$BT$26,IF(BM54="high",$BT$26,$BU$26))</f>
        <v>0.5</v>
      </c>
    </row>
    <row r="55" spans="3:92" x14ac:dyDescent="0.25">
      <c r="C55" t="str">
        <f t="shared" ref="C55:C65" si="231">F$9</f>
        <v>gr3</v>
      </c>
      <c r="D55" t="s">
        <v>109</v>
      </c>
      <c r="E55" t="s">
        <v>56</v>
      </c>
      <c r="G55" s="10">
        <f t="shared" ref="G55:G65" si="232">G54</f>
        <v>13</v>
      </c>
      <c r="H55" s="6">
        <f t="shared" ref="H55:H65" si="233">H54</f>
        <v>25</v>
      </c>
      <c r="I55" s="6">
        <f t="shared" ref="I55:I65" si="234">I54</f>
        <v>20</v>
      </c>
      <c r="J55" s="6">
        <f t="shared" ref="J55:J65" si="235">J54</f>
        <v>16.259999999999998</v>
      </c>
      <c r="K55" s="6">
        <f t="shared" ref="K55:K65" si="236">K54</f>
        <v>13.7</v>
      </c>
      <c r="L55" s="6">
        <f t="shared" ref="L55:L65" si="237">L54</f>
        <v>14.9</v>
      </c>
      <c r="M55" s="6">
        <f t="shared" ref="M55:M65" si="238">M54</f>
        <v>22.9</v>
      </c>
      <c r="N55" s="6">
        <f t="shared" ref="N55:N65" si="239">N54</f>
        <v>13.23</v>
      </c>
      <c r="O55" s="11">
        <f t="shared" ref="O55:O65" si="240">O54</f>
        <v>18.84</v>
      </c>
      <c r="Q55" s="10">
        <f t="shared" ref="Q55:Y55" ca="1" si="241">Q54</f>
        <v>1.2599999999999998</v>
      </c>
      <c r="R55" s="6">
        <f t="shared" ca="1" si="241"/>
        <v>-1.37</v>
      </c>
      <c r="S55" s="6">
        <f t="shared" ca="1" si="241"/>
        <v>-0.16</v>
      </c>
      <c r="T55" s="6">
        <f t="shared" ca="1" si="241"/>
        <v>5.999999999999997E-2</v>
      </c>
      <c r="U55" s="6">
        <f t="shared" ca="1" si="241"/>
        <v>0.03</v>
      </c>
      <c r="V55" s="6">
        <f t="shared" ca="1" si="241"/>
        <v>-0.14000000000000001</v>
      </c>
      <c r="W55" s="6">
        <f t="shared" ca="1" si="241"/>
        <v>1.0000000000000009E-2</v>
      </c>
      <c r="X55" s="6">
        <f t="shared" ca="1" si="241"/>
        <v>8.0000000000000016E-2</v>
      </c>
      <c r="Y55" s="11">
        <f t="shared" ca="1" si="241"/>
        <v>1.0000000000000009E-2</v>
      </c>
      <c r="AA55" s="10">
        <f t="shared" ref="AA55:AI55" ca="1" si="242">RANDBETWEEN(0,AA113)/100-AA113/100/2</f>
        <v>0.06</v>
      </c>
      <c r="AB55" s="6">
        <f t="shared" ca="1" si="242"/>
        <v>-1.0000000000000009E-2</v>
      </c>
      <c r="AC55" s="6">
        <f t="shared" ca="1" si="242"/>
        <v>-0.16999999999999998</v>
      </c>
      <c r="AD55" s="6">
        <f t="shared" ca="1" si="242"/>
        <v>-0.24</v>
      </c>
      <c r="AE55" s="6">
        <f t="shared" ca="1" si="242"/>
        <v>-7.0000000000000007E-2</v>
      </c>
      <c r="AF55" s="6">
        <f t="shared" ca="1" si="242"/>
        <v>-0.1</v>
      </c>
      <c r="AG55" s="6">
        <f t="shared" ca="1" si="242"/>
        <v>0.15999999999999998</v>
      </c>
      <c r="AH55" s="6">
        <f t="shared" ca="1" si="242"/>
        <v>-4.0000000000000008E-2</v>
      </c>
      <c r="AI55" s="11">
        <f t="shared" ca="1" si="242"/>
        <v>-0.10999999999999999</v>
      </c>
      <c r="AK55" s="10"/>
      <c r="AL55" s="6"/>
      <c r="AM55" s="6" t="s">
        <v>18</v>
      </c>
      <c r="AN55" s="6"/>
      <c r="AO55" s="6"/>
      <c r="AP55" s="6"/>
      <c r="AQ55" s="6"/>
      <c r="AR55" s="6"/>
      <c r="AS55" s="11"/>
      <c r="AU55" s="10">
        <f t="shared" ca="1" si="199"/>
        <v>14.32</v>
      </c>
      <c r="AV55" s="6">
        <f t="shared" ca="1" si="200"/>
        <v>23.619999999999997</v>
      </c>
      <c r="AW55" s="6" t="e">
        <f t="shared" ca="1" si="201"/>
        <v>#VALUE!</v>
      </c>
      <c r="AX55" s="6">
        <f t="shared" ca="1" si="202"/>
        <v>16.079999999999998</v>
      </c>
      <c r="AY55" s="6">
        <f t="shared" ca="1" si="203"/>
        <v>13.659999999999998</v>
      </c>
      <c r="AZ55" s="6">
        <f t="shared" ref="AZ55:AZ65" ca="1" si="243">IF(AP55=$AK$25,L55+V55+AF55+AP55,IFERROR(L55+V55+AF55+AP55,AP55))</f>
        <v>14.66</v>
      </c>
      <c r="BA55" s="6">
        <f t="shared" ca="1" si="204"/>
        <v>23.07</v>
      </c>
      <c r="BB55" s="6">
        <f t="shared" ca="1" si="205"/>
        <v>13.270000000000001</v>
      </c>
      <c r="BC55" s="11">
        <f t="shared" ca="1" si="206"/>
        <v>18.740000000000002</v>
      </c>
      <c r="BD55" s="15" t="str">
        <f t="shared" si="36"/>
        <v>gr3</v>
      </c>
      <c r="BE55" s="27">
        <f t="shared" ca="1" si="130"/>
        <v>14.32</v>
      </c>
      <c r="BF55" s="28">
        <f t="shared" ca="1" si="131"/>
        <v>23.619999999999997</v>
      </c>
      <c r="BG55" s="28" t="e">
        <f t="shared" ca="1" si="132"/>
        <v>#VALUE!</v>
      </c>
      <c r="BH55" s="28">
        <f t="shared" ca="1" si="133"/>
        <v>16.079999999999998</v>
      </c>
      <c r="BI55" s="28">
        <f t="shared" ca="1" si="134"/>
        <v>13.659999999999998</v>
      </c>
      <c r="BJ55" s="28">
        <f t="shared" ca="1" si="135"/>
        <v>14.66</v>
      </c>
      <c r="BK55" s="28">
        <f t="shared" ca="1" si="136"/>
        <v>23.07</v>
      </c>
      <c r="BL55" s="28">
        <f t="shared" ca="1" si="137"/>
        <v>13.270000000000001</v>
      </c>
      <c r="BM55" s="29">
        <f t="shared" ca="1" si="138"/>
        <v>18.740000000000002</v>
      </c>
      <c r="BO55" s="44" t="str">
        <f t="shared" si="207"/>
        <v>gr3</v>
      </c>
      <c r="BP55" s="40" t="str">
        <f t="shared" si="208"/>
        <v>3bios1</v>
      </c>
      <c r="BQ55" s="40" t="str">
        <f t="shared" si="209"/>
        <v>tech26</v>
      </c>
      <c r="BR55" s="27">
        <f t="shared" ca="1" si="210"/>
        <v>14.32</v>
      </c>
      <c r="BS55" s="27">
        <f t="shared" ca="1" si="211"/>
        <v>23.619999999999997</v>
      </c>
      <c r="BT55" s="27" t="e">
        <f t="shared" ca="1" si="212"/>
        <v>#VALUE!</v>
      </c>
      <c r="BU55" s="27">
        <f t="shared" ca="1" si="213"/>
        <v>16.079999999999998</v>
      </c>
      <c r="BV55" s="27">
        <f t="shared" ca="1" si="214"/>
        <v>13.659999999999998</v>
      </c>
      <c r="BW55" s="27">
        <f t="shared" ca="1" si="215"/>
        <v>14.66</v>
      </c>
      <c r="BX55" s="27">
        <f t="shared" ca="1" si="216"/>
        <v>23.07</v>
      </c>
      <c r="BY55" s="27">
        <f t="shared" ca="1" si="217"/>
        <v>13.270000000000001</v>
      </c>
      <c r="BZ55" s="45">
        <f t="shared" ca="1" si="218"/>
        <v>18.740000000000002</v>
      </c>
      <c r="CC55" s="53" t="str">
        <f t="shared" si="219"/>
        <v>gr3</v>
      </c>
      <c r="CD55" s="54" t="str">
        <f t="shared" si="220"/>
        <v>3bios1</v>
      </c>
      <c r="CE55" s="54" t="str">
        <f t="shared" si="221"/>
        <v>tech26</v>
      </c>
      <c r="CF55" s="27">
        <f t="shared" ca="1" si="222"/>
        <v>0.5</v>
      </c>
      <c r="CG55" s="27">
        <f t="shared" ca="1" si="223"/>
        <v>0.5</v>
      </c>
      <c r="CH55" s="27" t="e">
        <f t="shared" ca="1" si="224"/>
        <v>#VALUE!</v>
      </c>
      <c r="CI55" s="27">
        <f t="shared" ca="1" si="225"/>
        <v>0.5</v>
      </c>
      <c r="CJ55" s="27">
        <f t="shared" ca="1" si="226"/>
        <v>0.5</v>
      </c>
      <c r="CK55" s="27">
        <f t="shared" ca="1" si="227"/>
        <v>0.5</v>
      </c>
      <c r="CL55" s="27">
        <f t="shared" ca="1" si="228"/>
        <v>0.5</v>
      </c>
      <c r="CM55" s="27">
        <f t="shared" ca="1" si="229"/>
        <v>0.5</v>
      </c>
      <c r="CN55" s="45">
        <f t="shared" ca="1" si="230"/>
        <v>0.5</v>
      </c>
    </row>
    <row r="56" spans="3:92" x14ac:dyDescent="0.25">
      <c r="C56" t="str">
        <f t="shared" si="231"/>
        <v>gr3</v>
      </c>
      <c r="D56" t="s">
        <v>109</v>
      </c>
      <c r="E56" t="s">
        <v>57</v>
      </c>
      <c r="G56" s="10">
        <f t="shared" si="232"/>
        <v>13</v>
      </c>
      <c r="H56" s="6">
        <f t="shared" si="233"/>
        <v>25</v>
      </c>
      <c r="I56" s="6">
        <f t="shared" si="234"/>
        <v>20</v>
      </c>
      <c r="J56" s="6">
        <f t="shared" si="235"/>
        <v>16.259999999999998</v>
      </c>
      <c r="K56" s="6">
        <f t="shared" si="236"/>
        <v>13.7</v>
      </c>
      <c r="L56" s="6">
        <f t="shared" si="237"/>
        <v>14.9</v>
      </c>
      <c r="M56" s="6">
        <f t="shared" si="238"/>
        <v>22.9</v>
      </c>
      <c r="N56" s="6">
        <f t="shared" si="239"/>
        <v>13.23</v>
      </c>
      <c r="O56" s="11">
        <f t="shared" si="240"/>
        <v>18.84</v>
      </c>
      <c r="Q56" s="10">
        <f t="shared" ref="Q56:Y56" ca="1" si="244">Q55</f>
        <v>1.2599999999999998</v>
      </c>
      <c r="R56" s="6">
        <f t="shared" ca="1" si="244"/>
        <v>-1.37</v>
      </c>
      <c r="S56" s="6">
        <f t="shared" ca="1" si="244"/>
        <v>-0.16</v>
      </c>
      <c r="T56" s="6">
        <f t="shared" ca="1" si="244"/>
        <v>5.999999999999997E-2</v>
      </c>
      <c r="U56" s="6">
        <f t="shared" ca="1" si="244"/>
        <v>0.03</v>
      </c>
      <c r="V56" s="6">
        <f t="shared" ca="1" si="244"/>
        <v>-0.14000000000000001</v>
      </c>
      <c r="W56" s="6">
        <f t="shared" ca="1" si="244"/>
        <v>1.0000000000000009E-2</v>
      </c>
      <c r="X56" s="6">
        <f t="shared" ca="1" si="244"/>
        <v>8.0000000000000016E-2</v>
      </c>
      <c r="Y56" s="11">
        <f t="shared" ca="1" si="244"/>
        <v>1.0000000000000009E-2</v>
      </c>
      <c r="AA56" s="10">
        <f t="shared" ref="AA56:AI56" ca="1" si="245">RANDBETWEEN(0,AA113)/100-AA113/100/2</f>
        <v>-0.1</v>
      </c>
      <c r="AB56" s="6">
        <f t="shared" ca="1" si="245"/>
        <v>-1.999999999999999E-2</v>
      </c>
      <c r="AC56" s="6">
        <f t="shared" ca="1" si="245"/>
        <v>-0.25</v>
      </c>
      <c r="AD56" s="6">
        <f t="shared" ca="1" si="245"/>
        <v>9.0000000000000024E-2</v>
      </c>
      <c r="AE56" s="6">
        <f t="shared" ca="1" si="245"/>
        <v>-1.0000000000000009E-2</v>
      </c>
      <c r="AF56" s="6">
        <f t="shared" ca="1" si="245"/>
        <v>0.24</v>
      </c>
      <c r="AG56" s="6">
        <f t="shared" ca="1" si="245"/>
        <v>0.22999999999999998</v>
      </c>
      <c r="AH56" s="6">
        <f t="shared" ca="1" si="245"/>
        <v>-0.10999999999999999</v>
      </c>
      <c r="AI56" s="11">
        <f t="shared" ca="1" si="245"/>
        <v>-0.2</v>
      </c>
      <c r="AK56" s="10">
        <v>2</v>
      </c>
      <c r="AL56" s="6"/>
      <c r="AM56" s="6" t="s">
        <v>18</v>
      </c>
      <c r="AN56" s="6"/>
      <c r="AO56" s="6" t="s">
        <v>18</v>
      </c>
      <c r="AP56" s="6"/>
      <c r="AQ56" s="6"/>
      <c r="AR56" s="6"/>
      <c r="AS56" s="11">
        <v>5</v>
      </c>
      <c r="AU56" s="10">
        <f t="shared" ca="1" si="199"/>
        <v>16.16</v>
      </c>
      <c r="AV56" s="6">
        <f t="shared" ca="1" si="200"/>
        <v>23.61</v>
      </c>
      <c r="AW56" s="6" t="e">
        <f t="shared" ca="1" si="201"/>
        <v>#VALUE!</v>
      </c>
      <c r="AX56" s="6">
        <f t="shared" ca="1" si="202"/>
        <v>16.409999999999997</v>
      </c>
      <c r="AY56" s="6" t="e">
        <f t="shared" ca="1" si="203"/>
        <v>#VALUE!</v>
      </c>
      <c r="AZ56" s="6">
        <f t="shared" ca="1" si="243"/>
        <v>15</v>
      </c>
      <c r="BA56" s="6">
        <f t="shared" ca="1" si="204"/>
        <v>23.14</v>
      </c>
      <c r="BB56" s="6">
        <f t="shared" ca="1" si="205"/>
        <v>13.200000000000001</v>
      </c>
      <c r="BC56" s="11">
        <f t="shared" ca="1" si="206"/>
        <v>23.650000000000002</v>
      </c>
      <c r="BD56" s="15" t="str">
        <f t="shared" si="36"/>
        <v>gr3</v>
      </c>
      <c r="BE56" s="27">
        <f t="shared" ca="1" si="130"/>
        <v>16.16</v>
      </c>
      <c r="BF56" s="28">
        <f t="shared" ca="1" si="131"/>
        <v>23.61</v>
      </c>
      <c r="BG56" s="28" t="e">
        <f t="shared" ca="1" si="132"/>
        <v>#VALUE!</v>
      </c>
      <c r="BH56" s="28">
        <f t="shared" ca="1" si="133"/>
        <v>16.409999999999997</v>
      </c>
      <c r="BI56" s="28" t="e">
        <f t="shared" ca="1" si="134"/>
        <v>#VALUE!</v>
      </c>
      <c r="BJ56" s="28">
        <f t="shared" ca="1" si="135"/>
        <v>15</v>
      </c>
      <c r="BK56" s="28">
        <f t="shared" ca="1" si="136"/>
        <v>23.14</v>
      </c>
      <c r="BL56" s="28">
        <f t="shared" ca="1" si="137"/>
        <v>13.200000000000001</v>
      </c>
      <c r="BM56" s="29">
        <f t="shared" ca="1" si="138"/>
        <v>23.650000000000002</v>
      </c>
      <c r="BO56" s="44" t="str">
        <f t="shared" si="207"/>
        <v>gr3</v>
      </c>
      <c r="BP56" s="40" t="str">
        <f t="shared" si="208"/>
        <v>3bios1</v>
      </c>
      <c r="BQ56" s="40" t="str">
        <f t="shared" si="209"/>
        <v>tech27</v>
      </c>
      <c r="BR56" s="27">
        <f t="shared" ca="1" si="210"/>
        <v>16.16</v>
      </c>
      <c r="BS56" s="27">
        <f t="shared" ca="1" si="211"/>
        <v>23.61</v>
      </c>
      <c r="BT56" s="27" t="e">
        <f t="shared" ca="1" si="212"/>
        <v>#VALUE!</v>
      </c>
      <c r="BU56" s="27">
        <f t="shared" ca="1" si="213"/>
        <v>16.409999999999997</v>
      </c>
      <c r="BV56" s="27" t="e">
        <f t="shared" ca="1" si="214"/>
        <v>#VALUE!</v>
      </c>
      <c r="BW56" s="27">
        <f t="shared" ca="1" si="215"/>
        <v>15</v>
      </c>
      <c r="BX56" s="27">
        <f t="shared" ca="1" si="216"/>
        <v>23.14</v>
      </c>
      <c r="BY56" s="27">
        <f t="shared" ca="1" si="217"/>
        <v>13.200000000000001</v>
      </c>
      <c r="BZ56" s="45">
        <f t="shared" ca="1" si="218"/>
        <v>23.650000000000002</v>
      </c>
      <c r="CC56" s="53" t="str">
        <f t="shared" si="219"/>
        <v>gr3</v>
      </c>
      <c r="CD56" s="54" t="str">
        <f t="shared" si="220"/>
        <v>3bios1</v>
      </c>
      <c r="CE56" s="54" t="str">
        <f t="shared" si="221"/>
        <v>tech27</v>
      </c>
      <c r="CF56" s="27">
        <f t="shared" ca="1" si="222"/>
        <v>0.5</v>
      </c>
      <c r="CG56" s="27">
        <f t="shared" ca="1" si="223"/>
        <v>0.5</v>
      </c>
      <c r="CH56" s="27" t="e">
        <f t="shared" ca="1" si="224"/>
        <v>#VALUE!</v>
      </c>
      <c r="CI56" s="27">
        <f t="shared" ca="1" si="225"/>
        <v>0.5</v>
      </c>
      <c r="CJ56" s="27" t="e">
        <f t="shared" ca="1" si="226"/>
        <v>#VALUE!</v>
      </c>
      <c r="CK56" s="27">
        <f t="shared" ca="1" si="227"/>
        <v>0.5</v>
      </c>
      <c r="CL56" s="27">
        <f t="shared" ca="1" si="228"/>
        <v>0.5</v>
      </c>
      <c r="CM56" s="27">
        <f t="shared" ca="1" si="229"/>
        <v>0.5</v>
      </c>
      <c r="CN56" s="45">
        <f t="shared" ca="1" si="230"/>
        <v>0.5</v>
      </c>
    </row>
    <row r="57" spans="3:92" x14ac:dyDescent="0.25">
      <c r="C57" t="str">
        <f t="shared" si="231"/>
        <v>gr3</v>
      </c>
      <c r="D57" t="s">
        <v>109</v>
      </c>
      <c r="E57" t="s">
        <v>58</v>
      </c>
      <c r="G57" s="12">
        <f t="shared" si="232"/>
        <v>13</v>
      </c>
      <c r="H57" s="13">
        <f t="shared" si="233"/>
        <v>25</v>
      </c>
      <c r="I57" s="13">
        <f t="shared" si="234"/>
        <v>20</v>
      </c>
      <c r="J57" s="13">
        <f t="shared" si="235"/>
        <v>16.259999999999998</v>
      </c>
      <c r="K57" s="13">
        <f t="shared" si="236"/>
        <v>13.7</v>
      </c>
      <c r="L57" s="13">
        <f t="shared" si="237"/>
        <v>14.9</v>
      </c>
      <c r="M57" s="13">
        <f t="shared" si="238"/>
        <v>22.9</v>
      </c>
      <c r="N57" s="13">
        <f t="shared" si="239"/>
        <v>13.23</v>
      </c>
      <c r="O57" s="14">
        <f t="shared" si="240"/>
        <v>18.84</v>
      </c>
      <c r="Q57" s="12">
        <f t="shared" ref="Q57:Y57" ca="1" si="246">Q56</f>
        <v>1.2599999999999998</v>
      </c>
      <c r="R57" s="13">
        <f t="shared" ca="1" si="246"/>
        <v>-1.37</v>
      </c>
      <c r="S57" s="13">
        <f t="shared" ca="1" si="246"/>
        <v>-0.16</v>
      </c>
      <c r="T57" s="13">
        <f t="shared" ca="1" si="246"/>
        <v>5.999999999999997E-2</v>
      </c>
      <c r="U57" s="13">
        <f t="shared" ca="1" si="246"/>
        <v>0.03</v>
      </c>
      <c r="V57" s="13">
        <f t="shared" ca="1" si="246"/>
        <v>-0.14000000000000001</v>
      </c>
      <c r="W57" s="13">
        <f t="shared" ca="1" si="246"/>
        <v>1.0000000000000009E-2</v>
      </c>
      <c r="X57" s="13">
        <f t="shared" ca="1" si="246"/>
        <v>8.0000000000000016E-2</v>
      </c>
      <c r="Y57" s="14">
        <f t="shared" ca="1" si="246"/>
        <v>1.0000000000000009E-2</v>
      </c>
      <c r="AA57" s="12">
        <f t="shared" ref="AA57:AI57" ca="1" si="247">RANDBETWEEN(0,AA113)/100-AA113/100/2</f>
        <v>3.0000000000000027E-2</v>
      </c>
      <c r="AB57" s="13">
        <f t="shared" ca="1" si="247"/>
        <v>-0.24</v>
      </c>
      <c r="AC57" s="13">
        <f t="shared" ca="1" si="247"/>
        <v>0.15999999999999998</v>
      </c>
      <c r="AD57" s="13">
        <f t="shared" ca="1" si="247"/>
        <v>4.9999999999999989E-2</v>
      </c>
      <c r="AE57" s="13">
        <f t="shared" ca="1" si="247"/>
        <v>0.2</v>
      </c>
      <c r="AF57" s="13">
        <f t="shared" ca="1" si="247"/>
        <v>4.9999999999999989E-2</v>
      </c>
      <c r="AG57" s="13">
        <f t="shared" ca="1" si="247"/>
        <v>0.13</v>
      </c>
      <c r="AH57" s="13">
        <f t="shared" ca="1" si="247"/>
        <v>-0.14000000000000001</v>
      </c>
      <c r="AI57" s="14">
        <f t="shared" ca="1" si="247"/>
        <v>0.21000000000000002</v>
      </c>
      <c r="AK57" s="12"/>
      <c r="AL57" s="13"/>
      <c r="AM57" s="13" t="s">
        <v>18</v>
      </c>
      <c r="AN57" s="13"/>
      <c r="AO57" s="13"/>
      <c r="AP57" s="13"/>
      <c r="AQ57" s="13"/>
      <c r="AR57" s="13"/>
      <c r="AS57" s="14"/>
      <c r="AU57" s="12">
        <f t="shared" ca="1" si="199"/>
        <v>14.29</v>
      </c>
      <c r="AV57" s="13">
        <f t="shared" ca="1" si="200"/>
        <v>23.39</v>
      </c>
      <c r="AW57" s="13" t="e">
        <f t="shared" ca="1" si="201"/>
        <v>#VALUE!</v>
      </c>
      <c r="AX57" s="13">
        <f t="shared" ca="1" si="202"/>
        <v>16.369999999999997</v>
      </c>
      <c r="AY57" s="13">
        <f t="shared" ca="1" si="203"/>
        <v>13.929999999999998</v>
      </c>
      <c r="AZ57" s="13">
        <f t="shared" ca="1" si="243"/>
        <v>14.81</v>
      </c>
      <c r="BA57" s="13">
        <f t="shared" ca="1" si="204"/>
        <v>23.04</v>
      </c>
      <c r="BB57" s="13">
        <f t="shared" ca="1" si="205"/>
        <v>13.17</v>
      </c>
      <c r="BC57" s="14">
        <f t="shared" ca="1" si="206"/>
        <v>19.060000000000002</v>
      </c>
      <c r="BD57" s="15" t="str">
        <f t="shared" si="36"/>
        <v>gr3</v>
      </c>
      <c r="BE57" s="30">
        <f t="shared" ca="1" si="130"/>
        <v>14.29</v>
      </c>
      <c r="BF57" s="31">
        <f t="shared" ca="1" si="131"/>
        <v>23.39</v>
      </c>
      <c r="BG57" s="31" t="e">
        <f t="shared" ca="1" si="132"/>
        <v>#VALUE!</v>
      </c>
      <c r="BH57" s="31">
        <f t="shared" ca="1" si="133"/>
        <v>16.369999999999997</v>
      </c>
      <c r="BI57" s="31">
        <f t="shared" ca="1" si="134"/>
        <v>13.929999999999998</v>
      </c>
      <c r="BJ57" s="31">
        <f t="shared" ca="1" si="135"/>
        <v>14.81</v>
      </c>
      <c r="BK57" s="31">
        <f t="shared" ca="1" si="136"/>
        <v>23.04</v>
      </c>
      <c r="BL57" s="31">
        <f t="shared" ca="1" si="137"/>
        <v>13.17</v>
      </c>
      <c r="BM57" s="32">
        <f t="shared" ca="1" si="138"/>
        <v>19.060000000000002</v>
      </c>
      <c r="BO57" s="44" t="str">
        <f t="shared" si="207"/>
        <v>gr3</v>
      </c>
      <c r="BP57" s="40" t="str">
        <f t="shared" si="208"/>
        <v>3bios1</v>
      </c>
      <c r="BQ57" s="40" t="str">
        <f t="shared" si="209"/>
        <v>tech28</v>
      </c>
      <c r="BR57" s="27">
        <f t="shared" ca="1" si="210"/>
        <v>14.29</v>
      </c>
      <c r="BS57" s="27">
        <f t="shared" ca="1" si="211"/>
        <v>23.39</v>
      </c>
      <c r="BT57" s="27" t="e">
        <f t="shared" ca="1" si="212"/>
        <v>#VALUE!</v>
      </c>
      <c r="BU57" s="27">
        <f t="shared" ca="1" si="213"/>
        <v>16.369999999999997</v>
      </c>
      <c r="BV57" s="27">
        <f t="shared" ca="1" si="214"/>
        <v>13.929999999999998</v>
      </c>
      <c r="BW57" s="27">
        <f t="shared" ca="1" si="215"/>
        <v>14.81</v>
      </c>
      <c r="BX57" s="27">
        <f t="shared" ca="1" si="216"/>
        <v>23.04</v>
      </c>
      <c r="BY57" s="27">
        <f t="shared" ca="1" si="217"/>
        <v>13.17</v>
      </c>
      <c r="BZ57" s="45">
        <f t="shared" ca="1" si="218"/>
        <v>19.060000000000002</v>
      </c>
      <c r="CC57" s="53" t="str">
        <f t="shared" si="219"/>
        <v>gr3</v>
      </c>
      <c r="CD57" s="54" t="str">
        <f t="shared" si="220"/>
        <v>3bios1</v>
      </c>
      <c r="CE57" s="54" t="str">
        <f t="shared" si="221"/>
        <v>tech28</v>
      </c>
      <c r="CF57" s="27">
        <f t="shared" ca="1" si="222"/>
        <v>0.5</v>
      </c>
      <c r="CG57" s="27">
        <f t="shared" ca="1" si="223"/>
        <v>0.5</v>
      </c>
      <c r="CH57" s="27" t="e">
        <f t="shared" ca="1" si="224"/>
        <v>#VALUE!</v>
      </c>
      <c r="CI57" s="27">
        <f t="shared" ca="1" si="225"/>
        <v>0.5</v>
      </c>
      <c r="CJ57" s="27">
        <f t="shared" ca="1" si="226"/>
        <v>0.5</v>
      </c>
      <c r="CK57" s="27">
        <f t="shared" ca="1" si="227"/>
        <v>0.5</v>
      </c>
      <c r="CL57" s="27">
        <f t="shared" ca="1" si="228"/>
        <v>0.5</v>
      </c>
      <c r="CM57" s="27">
        <f t="shared" ca="1" si="229"/>
        <v>0.5</v>
      </c>
      <c r="CN57" s="45">
        <f t="shared" ca="1" si="230"/>
        <v>0.5</v>
      </c>
    </row>
    <row r="58" spans="3:92" x14ac:dyDescent="0.25">
      <c r="C58" t="str">
        <f t="shared" si="231"/>
        <v>gr3</v>
      </c>
      <c r="D58" t="s">
        <v>110</v>
      </c>
      <c r="E58" t="s">
        <v>59</v>
      </c>
      <c r="G58" s="7">
        <f t="shared" si="232"/>
        <v>13</v>
      </c>
      <c r="H58" s="8">
        <f t="shared" si="233"/>
        <v>25</v>
      </c>
      <c r="I58" s="8">
        <f t="shared" si="234"/>
        <v>20</v>
      </c>
      <c r="J58" s="8">
        <f t="shared" si="235"/>
        <v>16.259999999999998</v>
      </c>
      <c r="K58" s="8">
        <f t="shared" si="236"/>
        <v>13.7</v>
      </c>
      <c r="L58" s="8">
        <f t="shared" si="237"/>
        <v>14.9</v>
      </c>
      <c r="M58" s="8">
        <f t="shared" si="238"/>
        <v>22.9</v>
      </c>
      <c r="N58" s="8">
        <f t="shared" si="239"/>
        <v>13.23</v>
      </c>
      <c r="O58" s="9">
        <f t="shared" si="240"/>
        <v>18.84</v>
      </c>
      <c r="Q58" s="7">
        <f t="shared" ref="Q58:Y58" ca="1" si="248">RANDBETWEEN(0,Q113)/100-Q113/100/2</f>
        <v>1.38</v>
      </c>
      <c r="R58" s="8">
        <f t="shared" ca="1" si="248"/>
        <v>-0.47</v>
      </c>
      <c r="S58" s="8">
        <f t="shared" ca="1" si="248"/>
        <v>-0.13</v>
      </c>
      <c r="T58" s="8">
        <f t="shared" ca="1" si="248"/>
        <v>5.0000000000000017E-2</v>
      </c>
      <c r="U58" s="8">
        <f t="shared" ca="1" si="248"/>
        <v>3.999999999999998E-2</v>
      </c>
      <c r="V58" s="8">
        <f t="shared" ca="1" si="248"/>
        <v>-7.0000000000000007E-2</v>
      </c>
      <c r="W58" s="8">
        <f t="shared" ca="1" si="248"/>
        <v>-1.9999999999999997E-2</v>
      </c>
      <c r="X58" s="8">
        <f t="shared" ca="1" si="248"/>
        <v>0.15999999999999998</v>
      </c>
      <c r="Y58" s="9">
        <f t="shared" ca="1" si="248"/>
        <v>-0.13</v>
      </c>
      <c r="AA58" s="7">
        <f t="shared" ref="AA58:AI58" ca="1" si="249">RANDBETWEEN(0,AA113)/100-AA113/100/2</f>
        <v>-0.19</v>
      </c>
      <c r="AB58" s="8">
        <f t="shared" ca="1" si="249"/>
        <v>-4.9999999999999989E-2</v>
      </c>
      <c r="AC58" s="8">
        <f t="shared" ca="1" si="249"/>
        <v>3.999999999999998E-2</v>
      </c>
      <c r="AD58" s="8">
        <f t="shared" ca="1" si="249"/>
        <v>-0.24</v>
      </c>
      <c r="AE58" s="8">
        <f t="shared" ca="1" si="249"/>
        <v>-0.24</v>
      </c>
      <c r="AF58" s="8">
        <f t="shared" ca="1" si="249"/>
        <v>-1.999999999999999E-2</v>
      </c>
      <c r="AG58" s="8">
        <f t="shared" ca="1" si="249"/>
        <v>3.999999999999998E-2</v>
      </c>
      <c r="AH58" s="8">
        <f t="shared" ca="1" si="249"/>
        <v>0.25</v>
      </c>
      <c r="AI58" s="9">
        <f t="shared" ca="1" si="249"/>
        <v>-0.18</v>
      </c>
      <c r="AK58" s="7"/>
      <c r="AL58" s="8"/>
      <c r="AM58" s="8" t="s">
        <v>18</v>
      </c>
      <c r="AN58" s="8"/>
      <c r="AO58" s="8"/>
      <c r="AP58" s="8"/>
      <c r="AQ58" s="8"/>
      <c r="AR58" s="8"/>
      <c r="AS58" s="9"/>
      <c r="AU58" s="7">
        <f t="shared" ca="1" si="199"/>
        <v>14.19</v>
      </c>
      <c r="AV58" s="8">
        <f t="shared" ca="1" si="200"/>
        <v>24.48</v>
      </c>
      <c r="AW58" s="8" t="e">
        <f t="shared" ca="1" si="201"/>
        <v>#VALUE!</v>
      </c>
      <c r="AX58" s="8">
        <f t="shared" ca="1" si="202"/>
        <v>16.07</v>
      </c>
      <c r="AY58" s="8">
        <f t="shared" ca="1" si="203"/>
        <v>13.499999999999998</v>
      </c>
      <c r="AZ58" s="8">
        <f t="shared" ca="1" si="243"/>
        <v>14.81</v>
      </c>
      <c r="BA58" s="8">
        <f t="shared" ca="1" si="204"/>
        <v>22.919999999999998</v>
      </c>
      <c r="BB58" s="8">
        <f t="shared" ca="1" si="205"/>
        <v>13.64</v>
      </c>
      <c r="BC58" s="9">
        <f t="shared" ca="1" si="206"/>
        <v>18.53</v>
      </c>
      <c r="BD58" s="15" t="str">
        <f t="shared" si="36"/>
        <v>gr3</v>
      </c>
      <c r="BE58" s="24">
        <f t="shared" ca="1" si="130"/>
        <v>14.19</v>
      </c>
      <c r="BF58" s="25">
        <f t="shared" ca="1" si="131"/>
        <v>24.48</v>
      </c>
      <c r="BG58" s="25" t="e">
        <f t="shared" ca="1" si="132"/>
        <v>#VALUE!</v>
      </c>
      <c r="BH58" s="25">
        <f t="shared" ca="1" si="133"/>
        <v>16.07</v>
      </c>
      <c r="BI58" s="25">
        <f t="shared" ca="1" si="134"/>
        <v>13.499999999999998</v>
      </c>
      <c r="BJ58" s="25">
        <f t="shared" ca="1" si="135"/>
        <v>14.81</v>
      </c>
      <c r="BK58" s="25">
        <f t="shared" ca="1" si="136"/>
        <v>22.919999999999998</v>
      </c>
      <c r="BL58" s="25">
        <f t="shared" ca="1" si="137"/>
        <v>13.64</v>
      </c>
      <c r="BM58" s="26">
        <f t="shared" ca="1" si="138"/>
        <v>18.53</v>
      </c>
      <c r="BO58" s="44" t="str">
        <f t="shared" si="207"/>
        <v>gr3</v>
      </c>
      <c r="BP58" s="40" t="str">
        <f t="shared" si="208"/>
        <v>3bios2</v>
      </c>
      <c r="BQ58" s="40" t="str">
        <f t="shared" si="209"/>
        <v>tech29</v>
      </c>
      <c r="BR58" s="27">
        <f t="shared" ca="1" si="210"/>
        <v>14.19</v>
      </c>
      <c r="BS58" s="27">
        <f t="shared" ca="1" si="211"/>
        <v>24.48</v>
      </c>
      <c r="BT58" s="27" t="e">
        <f t="shared" ca="1" si="212"/>
        <v>#VALUE!</v>
      </c>
      <c r="BU58" s="27">
        <f t="shared" ca="1" si="213"/>
        <v>16.07</v>
      </c>
      <c r="BV58" s="27">
        <f t="shared" ca="1" si="214"/>
        <v>13.499999999999998</v>
      </c>
      <c r="BW58" s="27">
        <f t="shared" ca="1" si="215"/>
        <v>14.81</v>
      </c>
      <c r="BX58" s="27">
        <f t="shared" ca="1" si="216"/>
        <v>22.919999999999998</v>
      </c>
      <c r="BY58" s="27">
        <f t="shared" ca="1" si="217"/>
        <v>13.64</v>
      </c>
      <c r="BZ58" s="45">
        <f t="shared" ca="1" si="218"/>
        <v>18.53</v>
      </c>
      <c r="CC58" s="53" t="str">
        <f t="shared" si="219"/>
        <v>gr3</v>
      </c>
      <c r="CD58" s="54" t="str">
        <f t="shared" si="220"/>
        <v>3bios2</v>
      </c>
      <c r="CE58" s="54" t="str">
        <f t="shared" si="221"/>
        <v>tech29</v>
      </c>
      <c r="CF58" s="27">
        <f t="shared" ca="1" si="222"/>
        <v>0.5</v>
      </c>
      <c r="CG58" s="27">
        <f t="shared" ca="1" si="223"/>
        <v>0.5</v>
      </c>
      <c r="CH58" s="27" t="e">
        <f t="shared" ca="1" si="224"/>
        <v>#VALUE!</v>
      </c>
      <c r="CI58" s="27">
        <f t="shared" ca="1" si="225"/>
        <v>0.5</v>
      </c>
      <c r="CJ58" s="27">
        <f t="shared" ca="1" si="226"/>
        <v>0.5</v>
      </c>
      <c r="CK58" s="27">
        <f t="shared" ca="1" si="227"/>
        <v>0.5</v>
      </c>
      <c r="CL58" s="27">
        <f t="shared" ca="1" si="228"/>
        <v>0.5</v>
      </c>
      <c r="CM58" s="27">
        <f t="shared" ca="1" si="229"/>
        <v>0.5</v>
      </c>
      <c r="CN58" s="45">
        <f t="shared" ca="1" si="230"/>
        <v>0.5</v>
      </c>
    </row>
    <row r="59" spans="3:92" x14ac:dyDescent="0.25">
      <c r="C59" t="str">
        <f t="shared" si="231"/>
        <v>gr3</v>
      </c>
      <c r="D59" t="s">
        <v>110</v>
      </c>
      <c r="E59" t="s">
        <v>60</v>
      </c>
      <c r="G59" s="10">
        <f t="shared" si="232"/>
        <v>13</v>
      </c>
      <c r="H59" s="6">
        <f t="shared" si="233"/>
        <v>25</v>
      </c>
      <c r="I59" s="6">
        <f t="shared" si="234"/>
        <v>20</v>
      </c>
      <c r="J59" s="6">
        <f t="shared" si="235"/>
        <v>16.259999999999998</v>
      </c>
      <c r="K59" s="6">
        <f t="shared" si="236"/>
        <v>13.7</v>
      </c>
      <c r="L59" s="6">
        <f t="shared" si="237"/>
        <v>14.9</v>
      </c>
      <c r="M59" s="6">
        <f t="shared" si="238"/>
        <v>22.9</v>
      </c>
      <c r="N59" s="6">
        <f t="shared" si="239"/>
        <v>13.23</v>
      </c>
      <c r="O59" s="11">
        <f t="shared" si="240"/>
        <v>18.84</v>
      </c>
      <c r="Q59" s="10">
        <f t="shared" ref="Q59:Y59" ca="1" si="250">Q58</f>
        <v>1.38</v>
      </c>
      <c r="R59" s="6">
        <f t="shared" ca="1" si="250"/>
        <v>-0.47</v>
      </c>
      <c r="S59" s="6">
        <f t="shared" ca="1" si="250"/>
        <v>-0.13</v>
      </c>
      <c r="T59" s="6">
        <f t="shared" ca="1" si="250"/>
        <v>5.0000000000000017E-2</v>
      </c>
      <c r="U59" s="6">
        <f t="shared" ca="1" si="250"/>
        <v>3.999999999999998E-2</v>
      </c>
      <c r="V59" s="6">
        <f t="shared" ca="1" si="250"/>
        <v>-7.0000000000000007E-2</v>
      </c>
      <c r="W59" s="6">
        <f t="shared" ca="1" si="250"/>
        <v>-1.9999999999999997E-2</v>
      </c>
      <c r="X59" s="6">
        <f t="shared" ca="1" si="250"/>
        <v>0.15999999999999998</v>
      </c>
      <c r="Y59" s="11">
        <f t="shared" ca="1" si="250"/>
        <v>-0.13</v>
      </c>
      <c r="AA59" s="10">
        <f t="shared" ref="AA59:AI59" ca="1" si="251">RANDBETWEEN(0,AA113)/100-AA113/100/2</f>
        <v>-4.0000000000000008E-2</v>
      </c>
      <c r="AB59" s="6">
        <f t="shared" ca="1" si="251"/>
        <v>-0.18</v>
      </c>
      <c r="AC59" s="6">
        <f t="shared" ca="1" si="251"/>
        <v>-0.10999999999999999</v>
      </c>
      <c r="AD59" s="6">
        <f t="shared" ca="1" si="251"/>
        <v>-0.14000000000000001</v>
      </c>
      <c r="AE59" s="6">
        <f t="shared" ca="1" si="251"/>
        <v>-0.23</v>
      </c>
      <c r="AF59" s="6">
        <f t="shared" ca="1" si="251"/>
        <v>0.12</v>
      </c>
      <c r="AG59" s="6">
        <f t="shared" ca="1" si="251"/>
        <v>-0.09</v>
      </c>
      <c r="AH59" s="6">
        <f t="shared" ca="1" si="251"/>
        <v>0.19</v>
      </c>
      <c r="AI59" s="11">
        <f t="shared" ca="1" si="251"/>
        <v>0.13</v>
      </c>
      <c r="AK59" s="10"/>
      <c r="AL59" s="6"/>
      <c r="AM59" s="6" t="s">
        <v>18</v>
      </c>
      <c r="AN59" s="6"/>
      <c r="AO59" s="6"/>
      <c r="AP59" s="6"/>
      <c r="AQ59" s="6"/>
      <c r="AR59" s="6"/>
      <c r="AS59" s="11"/>
      <c r="AU59" s="10">
        <f t="shared" ca="1" si="199"/>
        <v>14.34</v>
      </c>
      <c r="AV59" s="6">
        <f t="shared" ca="1" si="200"/>
        <v>24.35</v>
      </c>
      <c r="AW59" s="6" t="e">
        <f t="shared" ca="1" si="201"/>
        <v>#VALUE!</v>
      </c>
      <c r="AX59" s="6">
        <f t="shared" ca="1" si="202"/>
        <v>16.169999999999998</v>
      </c>
      <c r="AY59" s="6">
        <f t="shared" ca="1" si="203"/>
        <v>13.509999999999998</v>
      </c>
      <c r="AZ59" s="6">
        <f t="shared" ca="1" si="243"/>
        <v>14.95</v>
      </c>
      <c r="BA59" s="6">
        <f t="shared" ca="1" si="204"/>
        <v>22.79</v>
      </c>
      <c r="BB59" s="6">
        <f t="shared" ca="1" si="205"/>
        <v>13.58</v>
      </c>
      <c r="BC59" s="11">
        <f t="shared" ca="1" si="206"/>
        <v>18.84</v>
      </c>
      <c r="BD59" s="15" t="str">
        <f t="shared" si="36"/>
        <v>gr3</v>
      </c>
      <c r="BE59" s="27">
        <f t="shared" ca="1" si="130"/>
        <v>14.34</v>
      </c>
      <c r="BF59" s="28">
        <f t="shared" ca="1" si="131"/>
        <v>24.35</v>
      </c>
      <c r="BG59" s="28" t="e">
        <f t="shared" ca="1" si="132"/>
        <v>#VALUE!</v>
      </c>
      <c r="BH59" s="28">
        <f t="shared" ca="1" si="133"/>
        <v>16.169999999999998</v>
      </c>
      <c r="BI59" s="28">
        <f t="shared" ca="1" si="134"/>
        <v>13.509999999999998</v>
      </c>
      <c r="BJ59" s="28">
        <f t="shared" ca="1" si="135"/>
        <v>14.95</v>
      </c>
      <c r="BK59" s="28">
        <f t="shared" ca="1" si="136"/>
        <v>22.79</v>
      </c>
      <c r="BL59" s="28">
        <f t="shared" ca="1" si="137"/>
        <v>13.58</v>
      </c>
      <c r="BM59" s="29">
        <f t="shared" ca="1" si="138"/>
        <v>18.84</v>
      </c>
      <c r="BO59" s="44" t="str">
        <f t="shared" si="207"/>
        <v>gr3</v>
      </c>
      <c r="BP59" s="40" t="str">
        <f t="shared" si="208"/>
        <v>3bios2</v>
      </c>
      <c r="BQ59" s="40" t="str">
        <f t="shared" si="209"/>
        <v>tech30</v>
      </c>
      <c r="BR59" s="27">
        <f t="shared" ca="1" si="210"/>
        <v>14.34</v>
      </c>
      <c r="BS59" s="27">
        <f t="shared" ca="1" si="211"/>
        <v>24.35</v>
      </c>
      <c r="BT59" s="27" t="e">
        <f t="shared" ca="1" si="212"/>
        <v>#VALUE!</v>
      </c>
      <c r="BU59" s="27">
        <f t="shared" ca="1" si="213"/>
        <v>16.169999999999998</v>
      </c>
      <c r="BV59" s="27">
        <f t="shared" ca="1" si="214"/>
        <v>13.509999999999998</v>
      </c>
      <c r="BW59" s="27">
        <f t="shared" ca="1" si="215"/>
        <v>14.95</v>
      </c>
      <c r="BX59" s="27">
        <f t="shared" ca="1" si="216"/>
        <v>22.79</v>
      </c>
      <c r="BY59" s="27">
        <f t="shared" ca="1" si="217"/>
        <v>13.58</v>
      </c>
      <c r="BZ59" s="45">
        <f t="shared" ca="1" si="218"/>
        <v>18.84</v>
      </c>
      <c r="CC59" s="53" t="str">
        <f t="shared" si="219"/>
        <v>gr3</v>
      </c>
      <c r="CD59" s="54" t="str">
        <f t="shared" si="220"/>
        <v>3bios2</v>
      </c>
      <c r="CE59" s="54" t="str">
        <f t="shared" si="221"/>
        <v>tech30</v>
      </c>
      <c r="CF59" s="27">
        <f t="shared" ca="1" si="222"/>
        <v>0.5</v>
      </c>
      <c r="CG59" s="27">
        <f t="shared" ca="1" si="223"/>
        <v>0.5</v>
      </c>
      <c r="CH59" s="27" t="e">
        <f t="shared" ca="1" si="224"/>
        <v>#VALUE!</v>
      </c>
      <c r="CI59" s="27">
        <f t="shared" ca="1" si="225"/>
        <v>0.5</v>
      </c>
      <c r="CJ59" s="27">
        <f t="shared" ca="1" si="226"/>
        <v>0.5</v>
      </c>
      <c r="CK59" s="27">
        <f t="shared" ca="1" si="227"/>
        <v>0.5</v>
      </c>
      <c r="CL59" s="27">
        <f t="shared" ca="1" si="228"/>
        <v>0.5</v>
      </c>
      <c r="CM59" s="27">
        <f t="shared" ca="1" si="229"/>
        <v>0.5</v>
      </c>
      <c r="CN59" s="45">
        <f t="shared" ca="1" si="230"/>
        <v>0.5</v>
      </c>
    </row>
    <row r="60" spans="3:92" x14ac:dyDescent="0.25">
      <c r="C60" t="str">
        <f t="shared" si="231"/>
        <v>gr3</v>
      </c>
      <c r="D60" t="s">
        <v>110</v>
      </c>
      <c r="E60" t="s">
        <v>61</v>
      </c>
      <c r="G60" s="10">
        <f t="shared" si="232"/>
        <v>13</v>
      </c>
      <c r="H60" s="6">
        <f t="shared" si="233"/>
        <v>25</v>
      </c>
      <c r="I60" s="6">
        <f t="shared" si="234"/>
        <v>20</v>
      </c>
      <c r="J60" s="6">
        <f t="shared" si="235"/>
        <v>16.259999999999998</v>
      </c>
      <c r="K60" s="6">
        <f t="shared" si="236"/>
        <v>13.7</v>
      </c>
      <c r="L60" s="6">
        <f t="shared" si="237"/>
        <v>14.9</v>
      </c>
      <c r="M60" s="6">
        <f t="shared" si="238"/>
        <v>22.9</v>
      </c>
      <c r="N60" s="6">
        <f t="shared" si="239"/>
        <v>13.23</v>
      </c>
      <c r="O60" s="11">
        <f t="shared" si="240"/>
        <v>18.84</v>
      </c>
      <c r="Q60" s="10">
        <f t="shared" ref="Q60:Y60" ca="1" si="252">Q59</f>
        <v>1.38</v>
      </c>
      <c r="R60" s="6">
        <f t="shared" ca="1" si="252"/>
        <v>-0.47</v>
      </c>
      <c r="S60" s="6">
        <f t="shared" ca="1" si="252"/>
        <v>-0.13</v>
      </c>
      <c r="T60" s="6">
        <f t="shared" ca="1" si="252"/>
        <v>5.0000000000000017E-2</v>
      </c>
      <c r="U60" s="6">
        <f t="shared" ca="1" si="252"/>
        <v>3.999999999999998E-2</v>
      </c>
      <c r="V60" s="6">
        <f t="shared" ca="1" si="252"/>
        <v>-7.0000000000000007E-2</v>
      </c>
      <c r="W60" s="6">
        <f t="shared" ca="1" si="252"/>
        <v>-1.9999999999999997E-2</v>
      </c>
      <c r="X60" s="6">
        <f t="shared" ca="1" si="252"/>
        <v>0.15999999999999998</v>
      </c>
      <c r="Y60" s="11">
        <f t="shared" ca="1" si="252"/>
        <v>-0.13</v>
      </c>
      <c r="AA60" s="10">
        <f t="shared" ref="AA60:AI60" ca="1" si="253">RANDBETWEEN(0,AA113)/100-AA113/100/2</f>
        <v>-7.9999999999999988E-2</v>
      </c>
      <c r="AB60" s="6">
        <f t="shared" ca="1" si="253"/>
        <v>-0.2</v>
      </c>
      <c r="AC60" s="6">
        <f t="shared" ca="1" si="253"/>
        <v>-0.13</v>
      </c>
      <c r="AD60" s="6">
        <f t="shared" ca="1" si="253"/>
        <v>-4.0000000000000008E-2</v>
      </c>
      <c r="AE60" s="6">
        <f t="shared" ca="1" si="253"/>
        <v>3.999999999999998E-2</v>
      </c>
      <c r="AF60" s="6">
        <f t="shared" ca="1" si="253"/>
        <v>-0.15</v>
      </c>
      <c r="AG60" s="6">
        <f t="shared" ca="1" si="253"/>
        <v>-1.0000000000000009E-2</v>
      </c>
      <c r="AH60" s="6">
        <f t="shared" ca="1" si="253"/>
        <v>0.06</v>
      </c>
      <c r="AI60" s="11">
        <f t="shared" ca="1" si="253"/>
        <v>9.0000000000000024E-2</v>
      </c>
      <c r="AK60" s="10" t="s">
        <v>18</v>
      </c>
      <c r="AL60" s="6"/>
      <c r="AM60" s="6" t="s">
        <v>18</v>
      </c>
      <c r="AN60" s="6"/>
      <c r="AO60" s="6"/>
      <c r="AP60" s="6"/>
      <c r="AQ60" s="6"/>
      <c r="AR60" s="6"/>
      <c r="AS60" s="11"/>
      <c r="AU60" s="10" t="e">
        <f t="shared" ca="1" si="199"/>
        <v>#VALUE!</v>
      </c>
      <c r="AV60" s="6">
        <f t="shared" ca="1" si="200"/>
        <v>24.330000000000002</v>
      </c>
      <c r="AW60" s="6" t="e">
        <f t="shared" ca="1" si="201"/>
        <v>#VALUE!</v>
      </c>
      <c r="AX60" s="6">
        <f t="shared" ca="1" si="202"/>
        <v>16.27</v>
      </c>
      <c r="AY60" s="6">
        <f t="shared" ca="1" si="203"/>
        <v>13.779999999999998</v>
      </c>
      <c r="AZ60" s="6">
        <f t="shared" ca="1" si="243"/>
        <v>14.68</v>
      </c>
      <c r="BA60" s="6">
        <f t="shared" ca="1" si="204"/>
        <v>22.869999999999997</v>
      </c>
      <c r="BB60" s="6">
        <f t="shared" ca="1" si="205"/>
        <v>13.450000000000001</v>
      </c>
      <c r="BC60" s="11">
        <f t="shared" ca="1" si="206"/>
        <v>18.8</v>
      </c>
      <c r="BD60" s="15" t="str">
        <f t="shared" si="36"/>
        <v>gr3</v>
      </c>
      <c r="BE60" s="27" t="e">
        <f t="shared" ca="1" si="130"/>
        <v>#VALUE!</v>
      </c>
      <c r="BF60" s="28">
        <f t="shared" ca="1" si="131"/>
        <v>24.330000000000002</v>
      </c>
      <c r="BG60" s="28" t="e">
        <f t="shared" ca="1" si="132"/>
        <v>#VALUE!</v>
      </c>
      <c r="BH60" s="28">
        <f t="shared" ca="1" si="133"/>
        <v>16.27</v>
      </c>
      <c r="BI60" s="28">
        <f t="shared" ca="1" si="134"/>
        <v>13.779999999999998</v>
      </c>
      <c r="BJ60" s="28">
        <f t="shared" ca="1" si="135"/>
        <v>14.68</v>
      </c>
      <c r="BK60" s="28">
        <f t="shared" ca="1" si="136"/>
        <v>22.869999999999997</v>
      </c>
      <c r="BL60" s="28">
        <f t="shared" ca="1" si="137"/>
        <v>13.450000000000001</v>
      </c>
      <c r="BM60" s="29">
        <f t="shared" ca="1" si="138"/>
        <v>18.8</v>
      </c>
      <c r="BO60" s="44" t="str">
        <f t="shared" si="207"/>
        <v>gr3</v>
      </c>
      <c r="BP60" s="40" t="str">
        <f t="shared" si="208"/>
        <v>3bios2</v>
      </c>
      <c r="BQ60" s="40" t="str">
        <f t="shared" si="209"/>
        <v>tech31</v>
      </c>
      <c r="BR60" s="27" t="e">
        <f t="shared" ca="1" si="210"/>
        <v>#VALUE!</v>
      </c>
      <c r="BS60" s="27">
        <f t="shared" ca="1" si="211"/>
        <v>24.330000000000002</v>
      </c>
      <c r="BT60" s="27" t="e">
        <f t="shared" ca="1" si="212"/>
        <v>#VALUE!</v>
      </c>
      <c r="BU60" s="27">
        <f t="shared" ca="1" si="213"/>
        <v>16.27</v>
      </c>
      <c r="BV60" s="27">
        <f t="shared" ca="1" si="214"/>
        <v>13.779999999999998</v>
      </c>
      <c r="BW60" s="27">
        <f t="shared" ca="1" si="215"/>
        <v>14.68</v>
      </c>
      <c r="BX60" s="27">
        <f t="shared" ca="1" si="216"/>
        <v>22.869999999999997</v>
      </c>
      <c r="BY60" s="27">
        <f t="shared" ca="1" si="217"/>
        <v>13.450000000000001</v>
      </c>
      <c r="BZ60" s="45">
        <f t="shared" ca="1" si="218"/>
        <v>18.8</v>
      </c>
      <c r="CC60" s="53" t="str">
        <f t="shared" si="219"/>
        <v>gr3</v>
      </c>
      <c r="CD60" s="54" t="str">
        <f t="shared" si="220"/>
        <v>3bios2</v>
      </c>
      <c r="CE60" s="54" t="str">
        <f t="shared" si="221"/>
        <v>tech31</v>
      </c>
      <c r="CF60" s="27" t="e">
        <f t="shared" ca="1" si="222"/>
        <v>#VALUE!</v>
      </c>
      <c r="CG60" s="27">
        <f t="shared" ca="1" si="223"/>
        <v>0.5</v>
      </c>
      <c r="CH60" s="27" t="e">
        <f t="shared" ca="1" si="224"/>
        <v>#VALUE!</v>
      </c>
      <c r="CI60" s="27">
        <f t="shared" ca="1" si="225"/>
        <v>0.5</v>
      </c>
      <c r="CJ60" s="27">
        <f t="shared" ca="1" si="226"/>
        <v>0.5</v>
      </c>
      <c r="CK60" s="27">
        <f t="shared" ca="1" si="227"/>
        <v>0.5</v>
      </c>
      <c r="CL60" s="27">
        <f t="shared" ca="1" si="228"/>
        <v>0.5</v>
      </c>
      <c r="CM60" s="27">
        <f t="shared" ca="1" si="229"/>
        <v>0.5</v>
      </c>
      <c r="CN60" s="45">
        <f t="shared" ca="1" si="230"/>
        <v>0.5</v>
      </c>
    </row>
    <row r="61" spans="3:92" x14ac:dyDescent="0.25">
      <c r="C61" t="str">
        <f t="shared" si="231"/>
        <v>gr3</v>
      </c>
      <c r="D61" t="s">
        <v>110</v>
      </c>
      <c r="E61" t="s">
        <v>62</v>
      </c>
      <c r="G61" s="12">
        <f t="shared" si="232"/>
        <v>13</v>
      </c>
      <c r="H61" s="13">
        <f t="shared" si="233"/>
        <v>25</v>
      </c>
      <c r="I61" s="13">
        <f t="shared" si="234"/>
        <v>20</v>
      </c>
      <c r="J61" s="13">
        <f t="shared" si="235"/>
        <v>16.259999999999998</v>
      </c>
      <c r="K61" s="13">
        <f t="shared" si="236"/>
        <v>13.7</v>
      </c>
      <c r="L61" s="13">
        <f t="shared" si="237"/>
        <v>14.9</v>
      </c>
      <c r="M61" s="13">
        <f t="shared" si="238"/>
        <v>22.9</v>
      </c>
      <c r="N61" s="13">
        <f t="shared" si="239"/>
        <v>13.23</v>
      </c>
      <c r="O61" s="14">
        <f t="shared" si="240"/>
        <v>18.84</v>
      </c>
      <c r="Q61" s="12">
        <f t="shared" ref="Q61:Y61" ca="1" si="254">Q60</f>
        <v>1.38</v>
      </c>
      <c r="R61" s="13">
        <f t="shared" ca="1" si="254"/>
        <v>-0.47</v>
      </c>
      <c r="S61" s="13">
        <f t="shared" ca="1" si="254"/>
        <v>-0.13</v>
      </c>
      <c r="T61" s="13">
        <f t="shared" ca="1" si="254"/>
        <v>5.0000000000000017E-2</v>
      </c>
      <c r="U61" s="13">
        <f t="shared" ca="1" si="254"/>
        <v>3.999999999999998E-2</v>
      </c>
      <c r="V61" s="13">
        <f t="shared" ca="1" si="254"/>
        <v>-7.0000000000000007E-2</v>
      </c>
      <c r="W61" s="13">
        <f t="shared" ca="1" si="254"/>
        <v>-1.9999999999999997E-2</v>
      </c>
      <c r="X61" s="13">
        <f t="shared" ca="1" si="254"/>
        <v>0.15999999999999998</v>
      </c>
      <c r="Y61" s="14">
        <f t="shared" ca="1" si="254"/>
        <v>-0.13</v>
      </c>
      <c r="AA61" s="12">
        <f t="shared" ref="AA61:AI61" ca="1" si="255">RANDBETWEEN(0,AA113)/100-AA113/100/2</f>
        <v>0.18</v>
      </c>
      <c r="AB61" s="13">
        <f t="shared" ca="1" si="255"/>
        <v>4.9999999999999989E-2</v>
      </c>
      <c r="AC61" s="13">
        <f t="shared" ca="1" si="255"/>
        <v>4.9999999999999989E-2</v>
      </c>
      <c r="AD61" s="13">
        <f t="shared" ca="1" si="255"/>
        <v>1.0000000000000009E-2</v>
      </c>
      <c r="AE61" s="13">
        <f t="shared" ca="1" si="255"/>
        <v>-0.21</v>
      </c>
      <c r="AF61" s="13">
        <f t="shared" ca="1" si="255"/>
        <v>0.15999999999999998</v>
      </c>
      <c r="AG61" s="13">
        <f t="shared" ca="1" si="255"/>
        <v>-7.9999999999999988E-2</v>
      </c>
      <c r="AH61" s="13">
        <f t="shared" ca="1" si="255"/>
        <v>-7.9999999999999988E-2</v>
      </c>
      <c r="AI61" s="14">
        <f t="shared" ca="1" si="255"/>
        <v>-0.23</v>
      </c>
      <c r="AK61" s="12"/>
      <c r="AL61" s="13"/>
      <c r="AM61" s="13" t="s">
        <v>18</v>
      </c>
      <c r="AN61" s="13" t="s">
        <v>18</v>
      </c>
      <c r="AO61" s="13"/>
      <c r="AP61" s="13"/>
      <c r="AQ61" s="13"/>
      <c r="AR61" s="13"/>
      <c r="AS61" s="14"/>
      <c r="AU61" s="12">
        <f t="shared" ca="1" si="199"/>
        <v>14.559999999999999</v>
      </c>
      <c r="AV61" s="13">
        <f t="shared" ca="1" si="200"/>
        <v>24.580000000000002</v>
      </c>
      <c r="AW61" s="13" t="e">
        <f t="shared" ca="1" si="201"/>
        <v>#VALUE!</v>
      </c>
      <c r="AX61" s="13" t="e">
        <f t="shared" ca="1" si="202"/>
        <v>#VALUE!</v>
      </c>
      <c r="AY61" s="13">
        <f t="shared" ca="1" si="203"/>
        <v>13.529999999999998</v>
      </c>
      <c r="AZ61" s="13">
        <f t="shared" ca="1" si="243"/>
        <v>14.99</v>
      </c>
      <c r="BA61" s="13">
        <f t="shared" ca="1" si="204"/>
        <v>22.8</v>
      </c>
      <c r="BB61" s="13">
        <f t="shared" ca="1" si="205"/>
        <v>13.31</v>
      </c>
      <c r="BC61" s="14">
        <f t="shared" ca="1" si="206"/>
        <v>18.48</v>
      </c>
      <c r="BD61" s="15" t="str">
        <f t="shared" si="36"/>
        <v>gr3</v>
      </c>
      <c r="BE61" s="27">
        <f t="shared" ca="1" si="130"/>
        <v>14.559999999999999</v>
      </c>
      <c r="BF61" s="28">
        <f t="shared" ca="1" si="131"/>
        <v>24.580000000000002</v>
      </c>
      <c r="BG61" s="28" t="e">
        <f t="shared" ca="1" si="132"/>
        <v>#VALUE!</v>
      </c>
      <c r="BH61" s="28" t="e">
        <f t="shared" ca="1" si="133"/>
        <v>#VALUE!</v>
      </c>
      <c r="BI61" s="28">
        <f t="shared" ca="1" si="134"/>
        <v>13.529999999999998</v>
      </c>
      <c r="BJ61" s="28">
        <f t="shared" ca="1" si="135"/>
        <v>14.99</v>
      </c>
      <c r="BK61" s="28">
        <f t="shared" ca="1" si="136"/>
        <v>22.8</v>
      </c>
      <c r="BL61" s="28">
        <f t="shared" ca="1" si="137"/>
        <v>13.31</v>
      </c>
      <c r="BM61" s="29">
        <f t="shared" ca="1" si="138"/>
        <v>18.48</v>
      </c>
      <c r="BO61" s="44" t="str">
        <f t="shared" si="207"/>
        <v>gr3</v>
      </c>
      <c r="BP61" s="40" t="str">
        <f t="shared" si="208"/>
        <v>3bios2</v>
      </c>
      <c r="BQ61" s="40" t="str">
        <f t="shared" si="209"/>
        <v>tech32</v>
      </c>
      <c r="BR61" s="27">
        <f t="shared" ca="1" si="210"/>
        <v>14.559999999999999</v>
      </c>
      <c r="BS61" s="27">
        <f t="shared" ca="1" si="211"/>
        <v>24.580000000000002</v>
      </c>
      <c r="BT61" s="27" t="e">
        <f t="shared" ca="1" si="212"/>
        <v>#VALUE!</v>
      </c>
      <c r="BU61" s="27" t="e">
        <f t="shared" ca="1" si="213"/>
        <v>#VALUE!</v>
      </c>
      <c r="BV61" s="27">
        <f t="shared" ca="1" si="214"/>
        <v>13.529999999999998</v>
      </c>
      <c r="BW61" s="27">
        <f t="shared" ca="1" si="215"/>
        <v>14.99</v>
      </c>
      <c r="BX61" s="27">
        <f t="shared" ca="1" si="216"/>
        <v>22.8</v>
      </c>
      <c r="BY61" s="27">
        <f t="shared" ca="1" si="217"/>
        <v>13.31</v>
      </c>
      <c r="BZ61" s="45">
        <f t="shared" ca="1" si="218"/>
        <v>18.48</v>
      </c>
      <c r="CC61" s="53" t="str">
        <f t="shared" si="219"/>
        <v>gr3</v>
      </c>
      <c r="CD61" s="54" t="str">
        <f t="shared" si="220"/>
        <v>3bios2</v>
      </c>
      <c r="CE61" s="54" t="str">
        <f t="shared" si="221"/>
        <v>tech32</v>
      </c>
      <c r="CF61" s="27">
        <f t="shared" ca="1" si="222"/>
        <v>0.5</v>
      </c>
      <c r="CG61" s="27">
        <f t="shared" ca="1" si="223"/>
        <v>0.5</v>
      </c>
      <c r="CH61" s="27" t="e">
        <f t="shared" ca="1" si="224"/>
        <v>#VALUE!</v>
      </c>
      <c r="CI61" s="27" t="e">
        <f t="shared" ca="1" si="225"/>
        <v>#VALUE!</v>
      </c>
      <c r="CJ61" s="27">
        <f t="shared" ca="1" si="226"/>
        <v>0.5</v>
      </c>
      <c r="CK61" s="27">
        <f t="shared" ca="1" si="227"/>
        <v>0.5</v>
      </c>
      <c r="CL61" s="27">
        <f t="shared" ca="1" si="228"/>
        <v>0.5</v>
      </c>
      <c r="CM61" s="27">
        <f t="shared" ca="1" si="229"/>
        <v>0.5</v>
      </c>
      <c r="CN61" s="45">
        <f t="shared" ca="1" si="230"/>
        <v>0.5</v>
      </c>
    </row>
    <row r="62" spans="3:92" x14ac:dyDescent="0.25">
      <c r="C62" t="str">
        <f t="shared" si="231"/>
        <v>gr3</v>
      </c>
      <c r="D62" t="s">
        <v>111</v>
      </c>
      <c r="E62" t="s">
        <v>63</v>
      </c>
      <c r="G62" s="7">
        <f t="shared" si="232"/>
        <v>13</v>
      </c>
      <c r="H62" s="8">
        <f t="shared" si="233"/>
        <v>25</v>
      </c>
      <c r="I62" s="8">
        <f t="shared" si="234"/>
        <v>20</v>
      </c>
      <c r="J62" s="8">
        <f t="shared" si="235"/>
        <v>16.259999999999998</v>
      </c>
      <c r="K62" s="8">
        <f t="shared" si="236"/>
        <v>13.7</v>
      </c>
      <c r="L62" s="8">
        <f t="shared" si="237"/>
        <v>14.9</v>
      </c>
      <c r="M62" s="8">
        <f t="shared" si="238"/>
        <v>22.9</v>
      </c>
      <c r="N62" s="8">
        <f t="shared" si="239"/>
        <v>13.23</v>
      </c>
      <c r="O62" s="9">
        <f t="shared" si="240"/>
        <v>18.84</v>
      </c>
      <c r="Q62" s="7">
        <f t="shared" ref="Q62:Y62" ca="1" si="256">RANDBETWEEN(0,Q113)/100-Q113/100/2</f>
        <v>1.5899999999999999</v>
      </c>
      <c r="R62" s="8">
        <f t="shared" ca="1" si="256"/>
        <v>1.63</v>
      </c>
      <c r="S62" s="8">
        <f t="shared" ca="1" si="256"/>
        <v>0.23000000000000004</v>
      </c>
      <c r="T62" s="8">
        <f t="shared" ca="1" si="256"/>
        <v>-0.09</v>
      </c>
      <c r="U62" s="8">
        <f t="shared" ca="1" si="256"/>
        <v>-0.11000000000000001</v>
      </c>
      <c r="V62" s="8">
        <f t="shared" ca="1" si="256"/>
        <v>-8.0000000000000016E-2</v>
      </c>
      <c r="W62" s="8">
        <f t="shared" ca="1" si="256"/>
        <v>-9.999999999999995E-3</v>
      </c>
      <c r="X62" s="8">
        <f t="shared" ca="1" si="256"/>
        <v>-7.0000000000000007E-2</v>
      </c>
      <c r="Y62" s="9">
        <f t="shared" ca="1" si="256"/>
        <v>-0.15</v>
      </c>
      <c r="AA62" s="7">
        <f t="shared" ref="AA62:AI62" ca="1" si="257">RANDBETWEEN(0,AA113)/100-AA113/100/2</f>
        <v>-0.25</v>
      </c>
      <c r="AB62" s="8">
        <f t="shared" ca="1" si="257"/>
        <v>-0.14000000000000001</v>
      </c>
      <c r="AC62" s="8">
        <f t="shared" ca="1" si="257"/>
        <v>-0.23</v>
      </c>
      <c r="AD62" s="8">
        <f t="shared" ca="1" si="257"/>
        <v>0</v>
      </c>
      <c r="AE62" s="8">
        <f t="shared" ca="1" si="257"/>
        <v>-0.03</v>
      </c>
      <c r="AF62" s="8">
        <f t="shared" ca="1" si="257"/>
        <v>0</v>
      </c>
      <c r="AG62" s="8">
        <f t="shared" ca="1" si="257"/>
        <v>-0.22</v>
      </c>
      <c r="AH62" s="8">
        <f t="shared" ca="1" si="257"/>
        <v>-0.22</v>
      </c>
      <c r="AI62" s="9">
        <f t="shared" ca="1" si="257"/>
        <v>7.0000000000000007E-2</v>
      </c>
      <c r="AK62" s="7"/>
      <c r="AL62" s="8"/>
      <c r="AM62" s="8" t="s">
        <v>18</v>
      </c>
      <c r="AN62" s="8"/>
      <c r="AO62" s="8"/>
      <c r="AP62" s="8"/>
      <c r="AQ62" s="8"/>
      <c r="AR62" s="8"/>
      <c r="AS62" s="9"/>
      <c r="AU62" s="10">
        <f t="shared" ca="1" si="199"/>
        <v>14.34</v>
      </c>
      <c r="AV62" s="6">
        <f t="shared" ca="1" si="200"/>
        <v>26.49</v>
      </c>
      <c r="AW62" s="6" t="e">
        <f t="shared" ca="1" si="201"/>
        <v>#VALUE!</v>
      </c>
      <c r="AX62" s="6">
        <f t="shared" ca="1" si="202"/>
        <v>16.169999999999998</v>
      </c>
      <c r="AY62" s="6">
        <f t="shared" ca="1" si="203"/>
        <v>13.56</v>
      </c>
      <c r="AZ62" s="6">
        <f t="shared" ca="1" si="243"/>
        <v>14.82</v>
      </c>
      <c r="BA62" s="6">
        <f t="shared" ca="1" si="204"/>
        <v>22.669999999999998</v>
      </c>
      <c r="BB62" s="6">
        <f t="shared" ca="1" si="205"/>
        <v>12.94</v>
      </c>
      <c r="BC62" s="11">
        <f t="shared" ca="1" si="206"/>
        <v>18.760000000000002</v>
      </c>
      <c r="BD62" s="15" t="str">
        <f t="shared" si="36"/>
        <v>gr3</v>
      </c>
      <c r="BE62" s="24">
        <f t="shared" ca="1" si="130"/>
        <v>14.34</v>
      </c>
      <c r="BF62" s="25">
        <f t="shared" ca="1" si="131"/>
        <v>26.49</v>
      </c>
      <c r="BG62" s="25" t="e">
        <f t="shared" ca="1" si="132"/>
        <v>#VALUE!</v>
      </c>
      <c r="BH62" s="25">
        <f t="shared" ca="1" si="133"/>
        <v>16.169999999999998</v>
      </c>
      <c r="BI62" s="25">
        <f t="shared" ca="1" si="134"/>
        <v>13.56</v>
      </c>
      <c r="BJ62" s="25">
        <f t="shared" ca="1" si="135"/>
        <v>14.82</v>
      </c>
      <c r="BK62" s="25">
        <f t="shared" ca="1" si="136"/>
        <v>22.669999999999998</v>
      </c>
      <c r="BL62" s="25">
        <f t="shared" ca="1" si="137"/>
        <v>12.94</v>
      </c>
      <c r="BM62" s="26">
        <f t="shared" ca="1" si="138"/>
        <v>18.760000000000002</v>
      </c>
      <c r="BO62" s="44" t="str">
        <f t="shared" si="207"/>
        <v>gr3</v>
      </c>
      <c r="BP62" s="40" t="str">
        <f t="shared" si="208"/>
        <v>3bios3</v>
      </c>
      <c r="BQ62" s="40" t="str">
        <f t="shared" si="209"/>
        <v>tech33</v>
      </c>
      <c r="BR62" s="27">
        <f t="shared" ca="1" si="210"/>
        <v>14.34</v>
      </c>
      <c r="BS62" s="27">
        <f t="shared" ca="1" si="211"/>
        <v>26.49</v>
      </c>
      <c r="BT62" s="27" t="e">
        <f t="shared" ca="1" si="212"/>
        <v>#VALUE!</v>
      </c>
      <c r="BU62" s="27">
        <f t="shared" ca="1" si="213"/>
        <v>16.169999999999998</v>
      </c>
      <c r="BV62" s="27">
        <f t="shared" ca="1" si="214"/>
        <v>13.56</v>
      </c>
      <c r="BW62" s="27">
        <f t="shared" ca="1" si="215"/>
        <v>14.82</v>
      </c>
      <c r="BX62" s="27">
        <f t="shared" ca="1" si="216"/>
        <v>22.669999999999998</v>
      </c>
      <c r="BY62" s="27">
        <f t="shared" ca="1" si="217"/>
        <v>12.94</v>
      </c>
      <c r="BZ62" s="45">
        <f t="shared" ca="1" si="218"/>
        <v>18.760000000000002</v>
      </c>
      <c r="CC62" s="53" t="str">
        <f t="shared" si="219"/>
        <v>gr3</v>
      </c>
      <c r="CD62" s="54" t="str">
        <f t="shared" si="220"/>
        <v>3bios3</v>
      </c>
      <c r="CE62" s="54" t="str">
        <f t="shared" si="221"/>
        <v>tech33</v>
      </c>
      <c r="CF62" s="27">
        <f t="shared" ca="1" si="222"/>
        <v>0.5</v>
      </c>
      <c r="CG62" s="27">
        <f t="shared" ca="1" si="223"/>
        <v>0.5</v>
      </c>
      <c r="CH62" s="27" t="e">
        <f t="shared" ca="1" si="224"/>
        <v>#VALUE!</v>
      </c>
      <c r="CI62" s="27">
        <f t="shared" ca="1" si="225"/>
        <v>0.5</v>
      </c>
      <c r="CJ62" s="27">
        <f t="shared" ca="1" si="226"/>
        <v>0.5</v>
      </c>
      <c r="CK62" s="27">
        <f t="shared" ca="1" si="227"/>
        <v>0.5</v>
      </c>
      <c r="CL62" s="27">
        <f t="shared" ca="1" si="228"/>
        <v>0.5</v>
      </c>
      <c r="CM62" s="27">
        <f t="shared" ca="1" si="229"/>
        <v>0.5</v>
      </c>
      <c r="CN62" s="45">
        <f t="shared" ca="1" si="230"/>
        <v>0.5</v>
      </c>
    </row>
    <row r="63" spans="3:92" x14ac:dyDescent="0.25">
      <c r="C63" t="str">
        <f t="shared" si="231"/>
        <v>gr3</v>
      </c>
      <c r="D63" t="s">
        <v>111</v>
      </c>
      <c r="E63" t="s">
        <v>64</v>
      </c>
      <c r="G63" s="10">
        <f t="shared" si="232"/>
        <v>13</v>
      </c>
      <c r="H63" s="6">
        <f t="shared" si="233"/>
        <v>25</v>
      </c>
      <c r="I63" s="6">
        <f t="shared" si="234"/>
        <v>20</v>
      </c>
      <c r="J63" s="6">
        <f t="shared" si="235"/>
        <v>16.259999999999998</v>
      </c>
      <c r="K63" s="6">
        <f t="shared" si="236"/>
        <v>13.7</v>
      </c>
      <c r="L63" s="6">
        <f t="shared" si="237"/>
        <v>14.9</v>
      </c>
      <c r="M63" s="6">
        <f t="shared" si="238"/>
        <v>22.9</v>
      </c>
      <c r="N63" s="6">
        <f t="shared" si="239"/>
        <v>13.23</v>
      </c>
      <c r="O63" s="11">
        <f t="shared" si="240"/>
        <v>18.84</v>
      </c>
      <c r="Q63" s="10">
        <f t="shared" ref="Q63:Y63" ca="1" si="258">Q62</f>
        <v>1.5899999999999999</v>
      </c>
      <c r="R63" s="6">
        <f t="shared" ca="1" si="258"/>
        <v>1.63</v>
      </c>
      <c r="S63" s="6">
        <f t="shared" ca="1" si="258"/>
        <v>0.23000000000000004</v>
      </c>
      <c r="T63" s="6">
        <f t="shared" ca="1" si="258"/>
        <v>-0.09</v>
      </c>
      <c r="U63" s="6">
        <f t="shared" ca="1" si="258"/>
        <v>-0.11000000000000001</v>
      </c>
      <c r="V63" s="6">
        <f t="shared" ca="1" si="258"/>
        <v>-8.0000000000000016E-2</v>
      </c>
      <c r="W63" s="6">
        <f t="shared" ca="1" si="258"/>
        <v>-9.999999999999995E-3</v>
      </c>
      <c r="X63" s="6">
        <f t="shared" ca="1" si="258"/>
        <v>-7.0000000000000007E-2</v>
      </c>
      <c r="Y63" s="11">
        <f t="shared" ca="1" si="258"/>
        <v>-0.15</v>
      </c>
      <c r="AA63" s="10">
        <f t="shared" ref="AA63:AI63" ca="1" si="259">RANDBETWEEN(0,AA113)/100-AA113/100/2</f>
        <v>-0.14000000000000001</v>
      </c>
      <c r="AB63" s="6">
        <f t="shared" ca="1" si="259"/>
        <v>-0.22</v>
      </c>
      <c r="AC63" s="6">
        <f t="shared" ca="1" si="259"/>
        <v>0.2</v>
      </c>
      <c r="AD63" s="6">
        <f t="shared" ca="1" si="259"/>
        <v>-0.25</v>
      </c>
      <c r="AE63" s="6">
        <f t="shared" ca="1" si="259"/>
        <v>-0.13</v>
      </c>
      <c r="AF63" s="6">
        <f t="shared" ca="1" si="259"/>
        <v>-4.0000000000000008E-2</v>
      </c>
      <c r="AG63" s="6">
        <f t="shared" ca="1" si="259"/>
        <v>-0.14000000000000001</v>
      </c>
      <c r="AH63" s="6">
        <f t="shared" ca="1" si="259"/>
        <v>2.0000000000000018E-2</v>
      </c>
      <c r="AI63" s="11">
        <f t="shared" ca="1" si="259"/>
        <v>0.06</v>
      </c>
      <c r="AK63" s="10"/>
      <c r="AL63" s="6"/>
      <c r="AM63" s="6" t="s">
        <v>18</v>
      </c>
      <c r="AN63" s="6"/>
      <c r="AO63" s="6"/>
      <c r="AP63" s="6"/>
      <c r="AQ63" s="6"/>
      <c r="AR63" s="6"/>
      <c r="AS63" s="11"/>
      <c r="AU63" s="10">
        <f t="shared" ca="1" si="199"/>
        <v>14.45</v>
      </c>
      <c r="AV63" s="6">
        <f t="shared" ca="1" si="200"/>
        <v>26.41</v>
      </c>
      <c r="AW63" s="6" t="e">
        <f t="shared" ca="1" si="201"/>
        <v>#VALUE!</v>
      </c>
      <c r="AX63" s="6">
        <f t="shared" ca="1" si="202"/>
        <v>15.919999999999998</v>
      </c>
      <c r="AY63" s="6">
        <f t="shared" ca="1" si="203"/>
        <v>13.459999999999999</v>
      </c>
      <c r="AZ63" s="6">
        <f t="shared" ca="1" si="243"/>
        <v>14.780000000000001</v>
      </c>
      <c r="BA63" s="6">
        <f t="shared" ca="1" si="204"/>
        <v>22.749999999999996</v>
      </c>
      <c r="BB63" s="6">
        <f t="shared" ca="1" si="205"/>
        <v>13.18</v>
      </c>
      <c r="BC63" s="11">
        <f t="shared" ca="1" si="206"/>
        <v>18.75</v>
      </c>
      <c r="BD63" s="15" t="str">
        <f t="shared" si="36"/>
        <v>gr3</v>
      </c>
      <c r="BE63" s="27">
        <f t="shared" ca="1" si="130"/>
        <v>14.45</v>
      </c>
      <c r="BF63" s="28">
        <f t="shared" ca="1" si="131"/>
        <v>26.41</v>
      </c>
      <c r="BG63" s="28" t="e">
        <f t="shared" ca="1" si="132"/>
        <v>#VALUE!</v>
      </c>
      <c r="BH63" s="28">
        <f t="shared" ca="1" si="133"/>
        <v>15.919999999999998</v>
      </c>
      <c r="BI63" s="28">
        <f t="shared" ca="1" si="134"/>
        <v>13.459999999999999</v>
      </c>
      <c r="BJ63" s="28">
        <f t="shared" ca="1" si="135"/>
        <v>14.780000000000001</v>
      </c>
      <c r="BK63" s="28">
        <f t="shared" ca="1" si="136"/>
        <v>22.749999999999996</v>
      </c>
      <c r="BL63" s="28">
        <f t="shared" ca="1" si="137"/>
        <v>13.18</v>
      </c>
      <c r="BM63" s="29">
        <f t="shared" ca="1" si="138"/>
        <v>18.75</v>
      </c>
      <c r="BO63" s="44" t="str">
        <f t="shared" si="207"/>
        <v>gr3</v>
      </c>
      <c r="BP63" s="40" t="str">
        <f t="shared" si="208"/>
        <v>3bios3</v>
      </c>
      <c r="BQ63" s="40" t="str">
        <f t="shared" si="209"/>
        <v>tech34</v>
      </c>
      <c r="BR63" s="27">
        <f t="shared" ca="1" si="210"/>
        <v>14.45</v>
      </c>
      <c r="BS63" s="27">
        <f t="shared" ca="1" si="211"/>
        <v>26.41</v>
      </c>
      <c r="BT63" s="27" t="e">
        <f t="shared" ca="1" si="212"/>
        <v>#VALUE!</v>
      </c>
      <c r="BU63" s="27">
        <f t="shared" ca="1" si="213"/>
        <v>15.919999999999998</v>
      </c>
      <c r="BV63" s="27">
        <f t="shared" ca="1" si="214"/>
        <v>13.459999999999999</v>
      </c>
      <c r="BW63" s="27">
        <f t="shared" ca="1" si="215"/>
        <v>14.780000000000001</v>
      </c>
      <c r="BX63" s="27">
        <f t="shared" ca="1" si="216"/>
        <v>22.749999999999996</v>
      </c>
      <c r="BY63" s="27">
        <f t="shared" ca="1" si="217"/>
        <v>13.18</v>
      </c>
      <c r="BZ63" s="45">
        <f t="shared" ca="1" si="218"/>
        <v>18.75</v>
      </c>
      <c r="CC63" s="53" t="str">
        <f t="shared" si="219"/>
        <v>gr3</v>
      </c>
      <c r="CD63" s="54" t="str">
        <f t="shared" si="220"/>
        <v>3bios3</v>
      </c>
      <c r="CE63" s="54" t="str">
        <f t="shared" si="221"/>
        <v>tech34</v>
      </c>
      <c r="CF63" s="27">
        <f t="shared" ca="1" si="222"/>
        <v>0.5</v>
      </c>
      <c r="CG63" s="27">
        <f t="shared" ca="1" si="223"/>
        <v>0.5</v>
      </c>
      <c r="CH63" s="27" t="e">
        <f t="shared" ca="1" si="224"/>
        <v>#VALUE!</v>
      </c>
      <c r="CI63" s="27">
        <f t="shared" ca="1" si="225"/>
        <v>0.5</v>
      </c>
      <c r="CJ63" s="27">
        <f t="shared" ca="1" si="226"/>
        <v>0.5</v>
      </c>
      <c r="CK63" s="27">
        <f t="shared" ca="1" si="227"/>
        <v>0.5</v>
      </c>
      <c r="CL63" s="27">
        <f t="shared" ca="1" si="228"/>
        <v>0.5</v>
      </c>
      <c r="CM63" s="27">
        <f t="shared" ca="1" si="229"/>
        <v>0.5</v>
      </c>
      <c r="CN63" s="45">
        <f t="shared" ca="1" si="230"/>
        <v>0.5</v>
      </c>
    </row>
    <row r="64" spans="3:92" x14ac:dyDescent="0.25">
      <c r="C64" t="str">
        <f t="shared" si="231"/>
        <v>gr3</v>
      </c>
      <c r="D64" t="s">
        <v>111</v>
      </c>
      <c r="E64" t="s">
        <v>65</v>
      </c>
      <c r="G64" s="10">
        <f t="shared" si="232"/>
        <v>13</v>
      </c>
      <c r="H64" s="6">
        <f t="shared" si="233"/>
        <v>25</v>
      </c>
      <c r="I64" s="6">
        <f t="shared" si="234"/>
        <v>20</v>
      </c>
      <c r="J64" s="6">
        <f t="shared" si="235"/>
        <v>16.259999999999998</v>
      </c>
      <c r="K64" s="6">
        <f t="shared" si="236"/>
        <v>13.7</v>
      </c>
      <c r="L64" s="6">
        <f t="shared" si="237"/>
        <v>14.9</v>
      </c>
      <c r="M64" s="6">
        <f t="shared" si="238"/>
        <v>22.9</v>
      </c>
      <c r="N64" s="6">
        <f t="shared" si="239"/>
        <v>13.23</v>
      </c>
      <c r="O64" s="11">
        <f t="shared" si="240"/>
        <v>18.84</v>
      </c>
      <c r="Q64" s="10">
        <f t="shared" ref="Q64:Y64" ca="1" si="260">Q63</f>
        <v>1.5899999999999999</v>
      </c>
      <c r="R64" s="6">
        <f t="shared" ca="1" si="260"/>
        <v>1.63</v>
      </c>
      <c r="S64" s="6">
        <f t="shared" ca="1" si="260"/>
        <v>0.23000000000000004</v>
      </c>
      <c r="T64" s="6">
        <f t="shared" ca="1" si="260"/>
        <v>-0.09</v>
      </c>
      <c r="U64" s="6">
        <f t="shared" ca="1" si="260"/>
        <v>-0.11000000000000001</v>
      </c>
      <c r="V64" s="6">
        <f t="shared" ca="1" si="260"/>
        <v>-8.0000000000000016E-2</v>
      </c>
      <c r="W64" s="6">
        <f t="shared" ca="1" si="260"/>
        <v>-9.999999999999995E-3</v>
      </c>
      <c r="X64" s="6">
        <f t="shared" ca="1" si="260"/>
        <v>-7.0000000000000007E-2</v>
      </c>
      <c r="Y64" s="11">
        <f t="shared" ca="1" si="260"/>
        <v>-0.15</v>
      </c>
      <c r="AA64" s="10">
        <f t="shared" ref="AA64:AI64" ca="1" si="261">RANDBETWEEN(0,AA113)/100-AA113/100/2</f>
        <v>9.9999999999999978E-2</v>
      </c>
      <c r="AB64" s="6">
        <f t="shared" ca="1" si="261"/>
        <v>0.06</v>
      </c>
      <c r="AC64" s="6">
        <f t="shared" ca="1" si="261"/>
        <v>-1.999999999999999E-2</v>
      </c>
      <c r="AD64" s="6">
        <f t="shared" ca="1" si="261"/>
        <v>0.25</v>
      </c>
      <c r="AE64" s="6">
        <f t="shared" ca="1" si="261"/>
        <v>0.19</v>
      </c>
      <c r="AF64" s="6">
        <f t="shared" ca="1" si="261"/>
        <v>0.15999999999999998</v>
      </c>
      <c r="AG64" s="6">
        <f t="shared" ca="1" si="261"/>
        <v>-0.03</v>
      </c>
      <c r="AH64" s="6">
        <f t="shared" ca="1" si="261"/>
        <v>0.21999999999999997</v>
      </c>
      <c r="AI64" s="11">
        <f t="shared" ca="1" si="261"/>
        <v>-0.15</v>
      </c>
      <c r="AK64" s="10"/>
      <c r="AL64" s="6"/>
      <c r="AM64" s="6" t="s">
        <v>18</v>
      </c>
      <c r="AN64" s="6"/>
      <c r="AO64" s="6">
        <v>3</v>
      </c>
      <c r="AP64" s="6"/>
      <c r="AQ64" s="6"/>
      <c r="AR64" s="6"/>
      <c r="AS64" s="11" t="s">
        <v>18</v>
      </c>
      <c r="AU64" s="10">
        <f t="shared" ca="1" si="199"/>
        <v>14.69</v>
      </c>
      <c r="AV64" s="6">
        <f t="shared" ca="1" si="200"/>
        <v>26.689999999999998</v>
      </c>
      <c r="AW64" s="6" t="e">
        <f t="shared" ca="1" si="201"/>
        <v>#VALUE!</v>
      </c>
      <c r="AX64" s="6">
        <f t="shared" ca="1" si="202"/>
        <v>16.419999999999998</v>
      </c>
      <c r="AY64" s="6">
        <f t="shared" ca="1" si="203"/>
        <v>16.78</v>
      </c>
      <c r="AZ64" s="6">
        <f t="shared" ca="1" si="243"/>
        <v>14.98</v>
      </c>
      <c r="BA64" s="6">
        <f t="shared" ca="1" si="204"/>
        <v>22.859999999999996</v>
      </c>
      <c r="BB64" s="6">
        <f t="shared" ca="1" si="205"/>
        <v>13.38</v>
      </c>
      <c r="BC64" s="11" t="e">
        <f t="shared" ca="1" si="206"/>
        <v>#VALUE!</v>
      </c>
      <c r="BD64" s="15" t="str">
        <f t="shared" si="36"/>
        <v>gr3</v>
      </c>
      <c r="BE64" s="27">
        <f t="shared" ca="1" si="130"/>
        <v>14.69</v>
      </c>
      <c r="BF64" s="28">
        <f t="shared" ca="1" si="131"/>
        <v>26.689999999999998</v>
      </c>
      <c r="BG64" s="28" t="e">
        <f t="shared" ca="1" si="132"/>
        <v>#VALUE!</v>
      </c>
      <c r="BH64" s="28">
        <f t="shared" ca="1" si="133"/>
        <v>16.419999999999998</v>
      </c>
      <c r="BI64" s="28">
        <f t="shared" ca="1" si="134"/>
        <v>16.78</v>
      </c>
      <c r="BJ64" s="28">
        <f t="shared" ca="1" si="135"/>
        <v>14.98</v>
      </c>
      <c r="BK64" s="28">
        <f t="shared" ca="1" si="136"/>
        <v>22.859999999999996</v>
      </c>
      <c r="BL64" s="28">
        <f t="shared" ca="1" si="137"/>
        <v>13.38</v>
      </c>
      <c r="BM64" s="29" t="e">
        <f t="shared" ca="1" si="138"/>
        <v>#VALUE!</v>
      </c>
      <c r="BO64" s="44" t="str">
        <f t="shared" si="207"/>
        <v>gr3</v>
      </c>
      <c r="BP64" s="40" t="str">
        <f t="shared" si="208"/>
        <v>3bios3</v>
      </c>
      <c r="BQ64" s="40" t="str">
        <f t="shared" si="209"/>
        <v>tech35</v>
      </c>
      <c r="BR64" s="27">
        <f t="shared" ca="1" si="210"/>
        <v>14.69</v>
      </c>
      <c r="BS64" s="27">
        <f t="shared" ca="1" si="211"/>
        <v>26.689999999999998</v>
      </c>
      <c r="BT64" s="27" t="e">
        <f t="shared" ca="1" si="212"/>
        <v>#VALUE!</v>
      </c>
      <c r="BU64" s="27">
        <f t="shared" ca="1" si="213"/>
        <v>16.419999999999998</v>
      </c>
      <c r="BV64" s="27">
        <f t="shared" ca="1" si="214"/>
        <v>16.78</v>
      </c>
      <c r="BW64" s="27">
        <f t="shared" ca="1" si="215"/>
        <v>14.98</v>
      </c>
      <c r="BX64" s="27">
        <f t="shared" ca="1" si="216"/>
        <v>22.859999999999996</v>
      </c>
      <c r="BY64" s="27">
        <f t="shared" ca="1" si="217"/>
        <v>13.38</v>
      </c>
      <c r="BZ64" s="45" t="e">
        <f t="shared" ca="1" si="218"/>
        <v>#VALUE!</v>
      </c>
      <c r="CC64" s="53" t="str">
        <f t="shared" si="219"/>
        <v>gr3</v>
      </c>
      <c r="CD64" s="54" t="str">
        <f t="shared" si="220"/>
        <v>3bios3</v>
      </c>
      <c r="CE64" s="54" t="str">
        <f t="shared" si="221"/>
        <v>tech35</v>
      </c>
      <c r="CF64" s="27">
        <f t="shared" ca="1" si="222"/>
        <v>0.5</v>
      </c>
      <c r="CG64" s="27">
        <f t="shared" ca="1" si="223"/>
        <v>0.5</v>
      </c>
      <c r="CH64" s="27" t="e">
        <f t="shared" ca="1" si="224"/>
        <v>#VALUE!</v>
      </c>
      <c r="CI64" s="27">
        <f t="shared" ca="1" si="225"/>
        <v>0.5</v>
      </c>
      <c r="CJ64" s="27">
        <f t="shared" ca="1" si="226"/>
        <v>0.5</v>
      </c>
      <c r="CK64" s="27">
        <f t="shared" ca="1" si="227"/>
        <v>0.5</v>
      </c>
      <c r="CL64" s="27">
        <f t="shared" ca="1" si="228"/>
        <v>0.5</v>
      </c>
      <c r="CM64" s="27">
        <f t="shared" ca="1" si="229"/>
        <v>0.5</v>
      </c>
      <c r="CN64" s="45" t="e">
        <f t="shared" ca="1" si="230"/>
        <v>#VALUE!</v>
      </c>
    </row>
    <row r="65" spans="3:92" x14ac:dyDescent="0.25">
      <c r="C65" t="str">
        <f t="shared" si="231"/>
        <v>gr3</v>
      </c>
      <c r="D65" t="s">
        <v>111</v>
      </c>
      <c r="E65" t="s">
        <v>66</v>
      </c>
      <c r="G65" s="12">
        <f t="shared" si="232"/>
        <v>13</v>
      </c>
      <c r="H65" s="13">
        <f t="shared" si="233"/>
        <v>25</v>
      </c>
      <c r="I65" s="13">
        <f t="shared" si="234"/>
        <v>20</v>
      </c>
      <c r="J65" s="13">
        <f t="shared" si="235"/>
        <v>16.259999999999998</v>
      </c>
      <c r="K65" s="13">
        <f t="shared" si="236"/>
        <v>13.7</v>
      </c>
      <c r="L65" s="13">
        <f t="shared" si="237"/>
        <v>14.9</v>
      </c>
      <c r="M65" s="13">
        <f t="shared" si="238"/>
        <v>22.9</v>
      </c>
      <c r="N65" s="13">
        <f t="shared" si="239"/>
        <v>13.23</v>
      </c>
      <c r="O65" s="14">
        <f t="shared" si="240"/>
        <v>18.84</v>
      </c>
      <c r="Q65" s="12">
        <f t="shared" ref="Q65:Y65" ca="1" si="262">Q64</f>
        <v>1.5899999999999999</v>
      </c>
      <c r="R65" s="13">
        <f t="shared" ca="1" si="262"/>
        <v>1.63</v>
      </c>
      <c r="S65" s="13">
        <f t="shared" ca="1" si="262"/>
        <v>0.23000000000000004</v>
      </c>
      <c r="T65" s="13">
        <f t="shared" ca="1" si="262"/>
        <v>-0.09</v>
      </c>
      <c r="U65" s="13">
        <f t="shared" ca="1" si="262"/>
        <v>-0.11000000000000001</v>
      </c>
      <c r="V65" s="13">
        <f t="shared" ca="1" si="262"/>
        <v>-8.0000000000000016E-2</v>
      </c>
      <c r="W65" s="13">
        <f t="shared" ca="1" si="262"/>
        <v>-9.999999999999995E-3</v>
      </c>
      <c r="X65" s="13">
        <f t="shared" ca="1" si="262"/>
        <v>-7.0000000000000007E-2</v>
      </c>
      <c r="Y65" s="14">
        <f t="shared" ca="1" si="262"/>
        <v>-0.15</v>
      </c>
      <c r="AA65" s="12">
        <f t="shared" ref="AA65:AI65" ca="1" si="263">RANDBETWEEN(0,AA113)/100-AA113/100/2</f>
        <v>-0.25</v>
      </c>
      <c r="AB65" s="13">
        <f t="shared" ca="1" si="263"/>
        <v>-7.0000000000000007E-2</v>
      </c>
      <c r="AC65" s="13">
        <f t="shared" ca="1" si="263"/>
        <v>3.999999999999998E-2</v>
      </c>
      <c r="AD65" s="13">
        <f t="shared" ca="1" si="263"/>
        <v>0.22999999999999998</v>
      </c>
      <c r="AE65" s="13">
        <f t="shared" ca="1" si="263"/>
        <v>0.14000000000000001</v>
      </c>
      <c r="AF65" s="13">
        <f t="shared" ca="1" si="263"/>
        <v>-0.22</v>
      </c>
      <c r="AG65" s="13">
        <f t="shared" ca="1" si="263"/>
        <v>4.9999999999999989E-2</v>
      </c>
      <c r="AH65" s="13">
        <f t="shared" ca="1" si="263"/>
        <v>0.16999999999999998</v>
      </c>
      <c r="AI65" s="14">
        <f t="shared" ca="1" si="263"/>
        <v>-0.14000000000000001</v>
      </c>
      <c r="AK65" s="12"/>
      <c r="AL65" s="13"/>
      <c r="AM65" s="13" t="s">
        <v>18</v>
      </c>
      <c r="AN65" s="13"/>
      <c r="AO65" s="13"/>
      <c r="AP65" s="13"/>
      <c r="AQ65" s="13"/>
      <c r="AR65" s="13"/>
      <c r="AS65" s="14"/>
      <c r="AU65" s="12">
        <f t="shared" ca="1" si="199"/>
        <v>14.34</v>
      </c>
      <c r="AV65" s="13">
        <f t="shared" ca="1" si="200"/>
        <v>26.56</v>
      </c>
      <c r="AW65" s="13" t="e">
        <f t="shared" ca="1" si="201"/>
        <v>#VALUE!</v>
      </c>
      <c r="AX65" s="13">
        <f t="shared" ca="1" si="202"/>
        <v>16.399999999999999</v>
      </c>
      <c r="AY65" s="13">
        <f t="shared" ca="1" si="203"/>
        <v>13.73</v>
      </c>
      <c r="AZ65" s="13">
        <f t="shared" ca="1" si="243"/>
        <v>14.6</v>
      </c>
      <c r="BA65" s="13">
        <f t="shared" ca="1" si="204"/>
        <v>22.939999999999998</v>
      </c>
      <c r="BB65" s="13">
        <f t="shared" ca="1" si="205"/>
        <v>13.33</v>
      </c>
      <c r="BC65" s="14">
        <f t="shared" ca="1" si="206"/>
        <v>18.55</v>
      </c>
      <c r="BD65" s="15" t="str">
        <f t="shared" si="36"/>
        <v>gr3</v>
      </c>
      <c r="BE65" s="30">
        <f t="shared" ca="1" si="130"/>
        <v>14.34</v>
      </c>
      <c r="BF65" s="31">
        <f t="shared" ca="1" si="131"/>
        <v>26.56</v>
      </c>
      <c r="BG65" s="31" t="e">
        <f t="shared" ca="1" si="132"/>
        <v>#VALUE!</v>
      </c>
      <c r="BH65" s="31">
        <f t="shared" ca="1" si="133"/>
        <v>16.399999999999999</v>
      </c>
      <c r="BI65" s="31">
        <f t="shared" ca="1" si="134"/>
        <v>13.73</v>
      </c>
      <c r="BJ65" s="31">
        <f t="shared" ca="1" si="135"/>
        <v>14.6</v>
      </c>
      <c r="BK65" s="31">
        <f t="shared" ca="1" si="136"/>
        <v>22.939999999999998</v>
      </c>
      <c r="BL65" s="31">
        <f t="shared" ca="1" si="137"/>
        <v>13.33</v>
      </c>
      <c r="BM65" s="32">
        <f t="shared" ca="1" si="138"/>
        <v>18.55</v>
      </c>
      <c r="BO65" s="44" t="str">
        <f t="shared" si="207"/>
        <v>gr3</v>
      </c>
      <c r="BP65" s="40" t="str">
        <f t="shared" si="208"/>
        <v>3bios3</v>
      </c>
      <c r="BQ65" s="40" t="str">
        <f t="shared" si="209"/>
        <v>tech36</v>
      </c>
      <c r="BR65" s="27">
        <f t="shared" ca="1" si="210"/>
        <v>14.34</v>
      </c>
      <c r="BS65" s="27">
        <f t="shared" ca="1" si="211"/>
        <v>26.56</v>
      </c>
      <c r="BT65" s="27" t="e">
        <f t="shared" ca="1" si="212"/>
        <v>#VALUE!</v>
      </c>
      <c r="BU65" s="27">
        <f t="shared" ca="1" si="213"/>
        <v>16.399999999999999</v>
      </c>
      <c r="BV65" s="27">
        <f t="shared" ca="1" si="214"/>
        <v>13.73</v>
      </c>
      <c r="BW65" s="27">
        <f t="shared" ca="1" si="215"/>
        <v>14.6</v>
      </c>
      <c r="BX65" s="27">
        <f t="shared" ca="1" si="216"/>
        <v>22.939999999999998</v>
      </c>
      <c r="BY65" s="27">
        <f t="shared" ca="1" si="217"/>
        <v>13.33</v>
      </c>
      <c r="BZ65" s="45">
        <f t="shared" ca="1" si="218"/>
        <v>18.55</v>
      </c>
      <c r="CC65" s="53" t="str">
        <f t="shared" si="219"/>
        <v>gr3</v>
      </c>
      <c r="CD65" s="54" t="str">
        <f t="shared" si="220"/>
        <v>3bios3</v>
      </c>
      <c r="CE65" s="54" t="str">
        <f t="shared" si="221"/>
        <v>tech36</v>
      </c>
      <c r="CF65" s="27">
        <f t="shared" ca="1" si="222"/>
        <v>0.5</v>
      </c>
      <c r="CG65" s="27">
        <f t="shared" ca="1" si="223"/>
        <v>0.5</v>
      </c>
      <c r="CH65" s="27" t="e">
        <f t="shared" ca="1" si="224"/>
        <v>#VALUE!</v>
      </c>
      <c r="CI65" s="27">
        <f t="shared" ca="1" si="225"/>
        <v>0.5</v>
      </c>
      <c r="CJ65" s="27">
        <f t="shared" ca="1" si="226"/>
        <v>0.5</v>
      </c>
      <c r="CK65" s="27">
        <f t="shared" ca="1" si="227"/>
        <v>0.5</v>
      </c>
      <c r="CL65" s="27">
        <f t="shared" ca="1" si="228"/>
        <v>0.5</v>
      </c>
      <c r="CM65" s="27">
        <f t="shared" ca="1" si="229"/>
        <v>0.5</v>
      </c>
      <c r="CN65" s="45">
        <f t="shared" ca="1" si="230"/>
        <v>0.5</v>
      </c>
    </row>
    <row r="66" spans="3:92" x14ac:dyDescent="0.25">
      <c r="BD66" s="15"/>
      <c r="BO66" s="44"/>
      <c r="BP66" s="40"/>
      <c r="BQ66" s="40"/>
      <c r="BR66" s="27"/>
      <c r="BS66" s="27"/>
      <c r="BT66" s="27"/>
      <c r="BU66" s="27"/>
      <c r="BV66" s="27"/>
      <c r="BW66" s="27"/>
      <c r="BX66" s="27"/>
      <c r="BY66" s="27"/>
      <c r="BZ66" s="45"/>
      <c r="CC66" s="53"/>
      <c r="CD66" s="54"/>
      <c r="CE66" s="54"/>
      <c r="CF66" s="27"/>
      <c r="CG66" s="27"/>
      <c r="CH66" s="27"/>
      <c r="CI66" s="27"/>
      <c r="CJ66" s="27"/>
      <c r="CK66" s="27"/>
      <c r="CL66" s="27"/>
      <c r="CM66" s="27"/>
      <c r="CN66" s="45"/>
    </row>
    <row r="67" spans="3:92" x14ac:dyDescent="0.25">
      <c r="C67" t="str">
        <f>F$10</f>
        <v>gr4</v>
      </c>
      <c r="D67" t="s">
        <v>112</v>
      </c>
      <c r="E67" t="s">
        <v>67</v>
      </c>
      <c r="G67" s="7">
        <f>G19</f>
        <v>7</v>
      </c>
      <c r="H67" s="8">
        <f t="shared" ref="H67:O67" si="264">H19</f>
        <v>19</v>
      </c>
      <c r="I67" s="8">
        <f t="shared" si="264"/>
        <v>17</v>
      </c>
      <c r="J67" s="8">
        <f t="shared" si="264"/>
        <v>12.64</v>
      </c>
      <c r="K67" s="8">
        <f t="shared" si="264"/>
        <v>10.77</v>
      </c>
      <c r="L67" s="8">
        <f t="shared" si="264"/>
        <v>11.98</v>
      </c>
      <c r="M67" s="8">
        <f t="shared" si="264"/>
        <v>10.01</v>
      </c>
      <c r="N67" s="8">
        <f t="shared" si="264"/>
        <v>13.08</v>
      </c>
      <c r="O67" s="9">
        <f t="shared" si="264"/>
        <v>10.25</v>
      </c>
      <c r="Q67" s="7">
        <f t="shared" ref="Q67:Y67" ca="1" si="265">RANDBETWEEN(0,Q114)/100-Q114/100/2</f>
        <v>0.31999999999999984</v>
      </c>
      <c r="R67" s="8">
        <f t="shared" ca="1" si="265"/>
        <v>2.1799999999999997</v>
      </c>
      <c r="S67" s="8">
        <f t="shared" ca="1" si="265"/>
        <v>-0.35</v>
      </c>
      <c r="T67" s="8">
        <f t="shared" ca="1" si="265"/>
        <v>0.13499999999999998</v>
      </c>
      <c r="U67" s="8">
        <f t="shared" ca="1" si="265"/>
        <v>-4.4999999999999998E-2</v>
      </c>
      <c r="V67" s="8">
        <f t="shared" ca="1" si="265"/>
        <v>0.19999999999999996</v>
      </c>
      <c r="W67" s="8">
        <f t="shared" ca="1" si="265"/>
        <v>-5.0000000000000044E-3</v>
      </c>
      <c r="X67" s="8">
        <f t="shared" ca="1" si="265"/>
        <v>0.11000000000000001</v>
      </c>
      <c r="Y67" s="9">
        <f t="shared" ca="1" si="265"/>
        <v>-4.9999999999999989E-2</v>
      </c>
      <c r="Z67" s="10"/>
      <c r="AA67" s="7">
        <f t="shared" ref="AA67:AI67" ca="1" si="266">RANDBETWEEN(0,AA114)/100-AA114/100/2</f>
        <v>-0.10999999999999999</v>
      </c>
      <c r="AB67" s="8">
        <f t="shared" ca="1" si="266"/>
        <v>4.9999999999999989E-2</v>
      </c>
      <c r="AC67" s="8">
        <f t="shared" ca="1" si="266"/>
        <v>-0.18</v>
      </c>
      <c r="AD67" s="8">
        <f t="shared" ca="1" si="266"/>
        <v>-0.09</v>
      </c>
      <c r="AE67" s="8">
        <f t="shared" ca="1" si="266"/>
        <v>0.10999999999999999</v>
      </c>
      <c r="AF67" s="8">
        <f t="shared" ca="1" si="266"/>
        <v>0.14000000000000001</v>
      </c>
      <c r="AG67" s="8">
        <f t="shared" ca="1" si="266"/>
        <v>-0.12</v>
      </c>
      <c r="AH67" s="8">
        <f t="shared" ca="1" si="266"/>
        <v>-1.999999999999999E-2</v>
      </c>
      <c r="AI67" s="9">
        <f t="shared" ca="1" si="266"/>
        <v>-0.10999999999999999</v>
      </c>
      <c r="AK67" s="7"/>
      <c r="AL67" s="8"/>
      <c r="AM67" s="8" t="s">
        <v>18</v>
      </c>
      <c r="AN67" s="8"/>
      <c r="AO67" s="8"/>
      <c r="AP67" s="8"/>
      <c r="AQ67" s="8"/>
      <c r="AR67" s="8"/>
      <c r="AS67" s="9"/>
      <c r="AU67" s="7">
        <f t="shared" ref="AU67:AU78" ca="1" si="267">IF(AK67=$AK$25,G67+Q67+AA67+AK67,IFERROR(G67+Q67+AA67+AK67,AK67))</f>
        <v>7.21</v>
      </c>
      <c r="AV67" s="8">
        <f t="shared" ref="AV67:AV78" ca="1" si="268">IF(AL67=$AK$25,H67+R67+AB67+AL67,IFERROR(H67+R67+AB67+AL67,AL67))</f>
        <v>21.23</v>
      </c>
      <c r="AW67" s="8" t="e">
        <f t="shared" ref="AW67:AW78" ca="1" si="269">IF(AM67=$AK$25,I67+S67+AC67+AM67,IFERROR(I67+S67+AC67+AM67,AM67))</f>
        <v>#VALUE!</v>
      </c>
      <c r="AX67" s="8">
        <f t="shared" ref="AX67:AX78" ca="1" si="270">IF(AN67=$AK$25,J67+T67+AD67+AN67,IFERROR(J67+T67+AD67+AN67,AN67))</f>
        <v>12.685</v>
      </c>
      <c r="AY67" s="8">
        <f t="shared" ref="AY67:AY78" ca="1" si="271">IF(AO67=$AK$25,K67+U67+AE67+AO67,IFERROR(K67+U67+AE67+AO67,AO67))</f>
        <v>10.834999999999999</v>
      </c>
      <c r="AZ67" s="8">
        <f ca="1">IF(AP67=$AK$25,L67+V67+AF67+AP67,IFERROR(L67+V67+AF67+AP67,AP67))</f>
        <v>12.32</v>
      </c>
      <c r="BA67" s="8">
        <f t="shared" ref="BA67:BA78" ca="1" si="272">IF(AQ67=$AK$25,M67+W67+AG67+AQ67,IFERROR(M67+W67+AG67+AQ67,AQ67))</f>
        <v>9.8849999999999998</v>
      </c>
      <c r="BB67" s="8">
        <f t="shared" ref="BB67:BB78" ca="1" si="273">IF(AR67=$AK$25,N67+X67+AH67+AR67,IFERROR(N67+X67+AH67+AR67,AR67))</f>
        <v>13.17</v>
      </c>
      <c r="BC67" s="9">
        <f t="shared" ref="BC67:BC78" ca="1" si="274">IF(AS67=$AK$25,O67+Y67+AI67+AS67,IFERROR(O67+Y67+AI67+AS67,AS67))</f>
        <v>10.09</v>
      </c>
      <c r="BD67" s="15" t="str">
        <f t="shared" si="36"/>
        <v>gr4</v>
      </c>
      <c r="BE67" s="24">
        <f t="shared" ca="1" si="130"/>
        <v>7.21</v>
      </c>
      <c r="BF67" s="25">
        <f t="shared" ca="1" si="131"/>
        <v>21.23</v>
      </c>
      <c r="BG67" s="25" t="e">
        <f t="shared" ca="1" si="132"/>
        <v>#VALUE!</v>
      </c>
      <c r="BH67" s="25">
        <f t="shared" ca="1" si="133"/>
        <v>12.685</v>
      </c>
      <c r="BI67" s="25">
        <f t="shared" ca="1" si="134"/>
        <v>10.834999999999999</v>
      </c>
      <c r="BJ67" s="25">
        <f t="shared" ca="1" si="135"/>
        <v>12.32</v>
      </c>
      <c r="BK67" s="25">
        <f t="shared" ca="1" si="136"/>
        <v>9.8849999999999998</v>
      </c>
      <c r="BL67" s="25">
        <f t="shared" ca="1" si="137"/>
        <v>13.17</v>
      </c>
      <c r="BM67" s="26">
        <f t="shared" ca="1" si="138"/>
        <v>10.09</v>
      </c>
      <c r="BO67" s="44" t="str">
        <f t="shared" ref="BO67:BO78" si="275">C67</f>
        <v>gr4</v>
      </c>
      <c r="BP67" s="40" t="str">
        <f t="shared" ref="BP67:BP78" si="276">D67</f>
        <v>4bios1</v>
      </c>
      <c r="BQ67" s="40" t="str">
        <f t="shared" ref="BQ67:BQ78" si="277">E67</f>
        <v>tech37</v>
      </c>
      <c r="BR67" s="27">
        <f t="shared" ref="BR67:BR78" ca="1" si="278">IF(BE67="low",$BR$26,IF(BE67="high",$BS$26,BE67))</f>
        <v>7.21</v>
      </c>
      <c r="BS67" s="27">
        <f t="shared" ref="BS67:BS78" ca="1" si="279">IF(BF67="low",$BR$26,IF(BF67="high",$BS$26,BF67))</f>
        <v>21.23</v>
      </c>
      <c r="BT67" s="27" t="e">
        <f t="shared" ref="BT67:BT78" ca="1" si="280">IF(BG67="low",$BR$26,IF(BG67="high",$BS$26,BG67))</f>
        <v>#VALUE!</v>
      </c>
      <c r="BU67" s="27">
        <f t="shared" ref="BU67:BU78" ca="1" si="281">IF(BH67="low",$BR$26,IF(BH67="high",$BS$26,BH67))</f>
        <v>12.685</v>
      </c>
      <c r="BV67" s="27">
        <f t="shared" ref="BV67:BV78" ca="1" si="282">IF(BI67="low",$BR$26,IF(BI67="high",$BS$26,BI67))</f>
        <v>10.834999999999999</v>
      </c>
      <c r="BW67" s="27">
        <f t="shared" ref="BW67:BW78" ca="1" si="283">IF(BJ67="low",$BR$26,IF(BJ67="high",$BS$26,BJ67))</f>
        <v>12.32</v>
      </c>
      <c r="BX67" s="27">
        <f t="shared" ref="BX67:BX78" ca="1" si="284">IF(BK67="low",$BR$26,IF(BK67="high",$BS$26,BK67))</f>
        <v>9.8849999999999998</v>
      </c>
      <c r="BY67" s="27">
        <f t="shared" ref="BY67:BY78" ca="1" si="285">IF(BL67="low",$BR$26,IF(BL67="high",$BS$26,BL67))</f>
        <v>13.17</v>
      </c>
      <c r="BZ67" s="45">
        <f t="shared" ref="BZ67:BZ78" ca="1" si="286">IF(BM67="low",$BR$26,IF(BM67="high",$BS$26,BM67))</f>
        <v>10.09</v>
      </c>
      <c r="CC67" s="53" t="str">
        <f t="shared" ref="CC67:CC78" si="287">BO67</f>
        <v>gr4</v>
      </c>
      <c r="CD67" s="54" t="str">
        <f t="shared" ref="CD67:CD78" si="288">BP67</f>
        <v>4bios1</v>
      </c>
      <c r="CE67" s="54" t="str">
        <f t="shared" ref="CE67:CE78" si="289">BQ67</f>
        <v>tech37</v>
      </c>
      <c r="CF67" s="27">
        <f t="shared" ref="CF67:CF78" ca="1" si="290">IF(BE67="low",$BT$26,IF(BE67="high",$BT$26,$BU$26))</f>
        <v>0.5</v>
      </c>
      <c r="CG67" s="27">
        <f t="shared" ref="CG67:CG78" ca="1" si="291">IF(BF67="low",$BT$26,IF(BF67="high",$BT$26,$BU$26))</f>
        <v>0.5</v>
      </c>
      <c r="CH67" s="27" t="e">
        <f t="shared" ref="CH67:CH78" ca="1" si="292">IF(BG67="low",$BT$26,IF(BG67="high",$BT$26,$BU$26))</f>
        <v>#VALUE!</v>
      </c>
      <c r="CI67" s="27">
        <f t="shared" ref="CI67:CI78" ca="1" si="293">IF(BH67="low",$BT$26,IF(BH67="high",$BT$26,$BU$26))</f>
        <v>0.5</v>
      </c>
      <c r="CJ67" s="27">
        <f t="shared" ref="CJ67:CJ78" ca="1" si="294">IF(BI67="low",$BT$26,IF(BI67="high",$BT$26,$BU$26))</f>
        <v>0.5</v>
      </c>
      <c r="CK67" s="27">
        <f t="shared" ref="CK67:CK78" ca="1" si="295">IF(BJ67="low",$BT$26,IF(BJ67="high",$BT$26,$BU$26))</f>
        <v>0.5</v>
      </c>
      <c r="CL67" s="27">
        <f t="shared" ref="CL67:CL78" ca="1" si="296">IF(BK67="low",$BT$26,IF(BK67="high",$BT$26,$BU$26))</f>
        <v>0.5</v>
      </c>
      <c r="CM67" s="27">
        <f t="shared" ref="CM67:CM78" ca="1" si="297">IF(BL67="low",$BT$26,IF(BL67="high",$BT$26,$BU$26))</f>
        <v>0.5</v>
      </c>
      <c r="CN67" s="45">
        <f t="shared" ref="CN67:CN78" ca="1" si="298">IF(BM67="low",$BT$26,IF(BM67="high",$BT$26,$BU$26))</f>
        <v>0.5</v>
      </c>
    </row>
    <row r="68" spans="3:92" x14ac:dyDescent="0.25">
      <c r="C68" t="str">
        <f t="shared" ref="C68:C78" si="299">F$10</f>
        <v>gr4</v>
      </c>
      <c r="D68" t="s">
        <v>112</v>
      </c>
      <c r="E68" t="s">
        <v>68</v>
      </c>
      <c r="G68" s="10">
        <f t="shared" ref="G68:G78" si="300">G67</f>
        <v>7</v>
      </c>
      <c r="H68" s="6">
        <f t="shared" ref="H68:H78" si="301">H67</f>
        <v>19</v>
      </c>
      <c r="I68" s="6">
        <f t="shared" ref="I68:I78" si="302">I67</f>
        <v>17</v>
      </c>
      <c r="J68" s="6">
        <f t="shared" ref="J68:J78" si="303">J67</f>
        <v>12.64</v>
      </c>
      <c r="K68" s="6">
        <f t="shared" ref="K68:K78" si="304">K67</f>
        <v>10.77</v>
      </c>
      <c r="L68" s="6">
        <f t="shared" ref="L68:L78" si="305">L67</f>
        <v>11.98</v>
      </c>
      <c r="M68" s="6">
        <f t="shared" ref="M68:M78" si="306">M67</f>
        <v>10.01</v>
      </c>
      <c r="N68" s="6">
        <f t="shared" ref="N68:N78" si="307">N67</f>
        <v>13.08</v>
      </c>
      <c r="O68" s="11">
        <f t="shared" ref="O68:O78" si="308">O67</f>
        <v>10.25</v>
      </c>
      <c r="Q68" s="10">
        <f t="shared" ref="Q68:Y68" ca="1" si="309">Q67</f>
        <v>0.31999999999999984</v>
      </c>
      <c r="R68" s="6">
        <f t="shared" ca="1" si="309"/>
        <v>2.1799999999999997</v>
      </c>
      <c r="S68" s="6">
        <f t="shared" ca="1" si="309"/>
        <v>-0.35</v>
      </c>
      <c r="T68" s="6">
        <f t="shared" ca="1" si="309"/>
        <v>0.13499999999999998</v>
      </c>
      <c r="U68" s="6">
        <f t="shared" ca="1" si="309"/>
        <v>-4.4999999999999998E-2</v>
      </c>
      <c r="V68" s="6">
        <f t="shared" ca="1" si="309"/>
        <v>0.19999999999999996</v>
      </c>
      <c r="W68" s="6">
        <f t="shared" ca="1" si="309"/>
        <v>-5.0000000000000044E-3</v>
      </c>
      <c r="X68" s="6">
        <f t="shared" ca="1" si="309"/>
        <v>0.11000000000000001</v>
      </c>
      <c r="Y68" s="11">
        <f t="shared" ca="1" si="309"/>
        <v>-4.9999999999999989E-2</v>
      </c>
      <c r="AA68" s="10">
        <f t="shared" ref="AA68:AI68" ca="1" si="310">RANDBETWEEN(0,AA114)/100-AA114/100/2</f>
        <v>0.19</v>
      </c>
      <c r="AB68" s="6">
        <f t="shared" ca="1" si="310"/>
        <v>-4.0000000000000008E-2</v>
      </c>
      <c r="AC68" s="6">
        <f t="shared" ca="1" si="310"/>
        <v>-0.1</v>
      </c>
      <c r="AD68" s="6">
        <f t="shared" ca="1" si="310"/>
        <v>0.12</v>
      </c>
      <c r="AE68" s="6">
        <f t="shared" ca="1" si="310"/>
        <v>-0.23</v>
      </c>
      <c r="AF68" s="6">
        <f t="shared" ca="1" si="310"/>
        <v>-4.9999999999999989E-2</v>
      </c>
      <c r="AG68" s="6">
        <f t="shared" ca="1" si="310"/>
        <v>-0.06</v>
      </c>
      <c r="AH68" s="6">
        <f t="shared" ca="1" si="310"/>
        <v>0.22999999999999998</v>
      </c>
      <c r="AI68" s="11">
        <f t="shared" ca="1" si="310"/>
        <v>-0.14000000000000001</v>
      </c>
      <c r="AK68" s="10"/>
      <c r="AL68" s="6"/>
      <c r="AM68" s="6" t="s">
        <v>18</v>
      </c>
      <c r="AN68" s="6"/>
      <c r="AO68" s="6"/>
      <c r="AP68" s="6">
        <v>4</v>
      </c>
      <c r="AQ68" s="6"/>
      <c r="AR68" s="6"/>
      <c r="AS68" s="11"/>
      <c r="AU68" s="10">
        <f t="shared" ca="1" si="267"/>
        <v>7.5100000000000007</v>
      </c>
      <c r="AV68" s="6">
        <f t="shared" ca="1" si="268"/>
        <v>21.14</v>
      </c>
      <c r="AW68" s="6" t="e">
        <f t="shared" ca="1" si="269"/>
        <v>#VALUE!</v>
      </c>
      <c r="AX68" s="6">
        <f t="shared" ca="1" si="270"/>
        <v>12.895</v>
      </c>
      <c r="AY68" s="6">
        <f t="shared" ca="1" si="271"/>
        <v>10.494999999999999</v>
      </c>
      <c r="AZ68" s="6">
        <f t="shared" ref="AZ68:AZ78" ca="1" si="311">IF(AP68=$AK$25,L68+V68+AF68+AP68,IFERROR(L68+V68+AF68+AP68,AP68))</f>
        <v>16.13</v>
      </c>
      <c r="BA68" s="6">
        <f t="shared" ca="1" si="272"/>
        <v>9.9449999999999985</v>
      </c>
      <c r="BB68" s="6">
        <f t="shared" ca="1" si="273"/>
        <v>13.42</v>
      </c>
      <c r="BC68" s="11">
        <f t="shared" ca="1" si="274"/>
        <v>10.059999999999999</v>
      </c>
      <c r="BD68" s="15" t="str">
        <f t="shared" si="36"/>
        <v>gr4</v>
      </c>
      <c r="BE68" s="27">
        <f t="shared" ca="1" si="130"/>
        <v>7.5100000000000007</v>
      </c>
      <c r="BF68" s="28">
        <f t="shared" ca="1" si="131"/>
        <v>21.14</v>
      </c>
      <c r="BG68" s="28" t="e">
        <f t="shared" ca="1" si="132"/>
        <v>#VALUE!</v>
      </c>
      <c r="BH68" s="28">
        <f t="shared" ca="1" si="133"/>
        <v>12.895</v>
      </c>
      <c r="BI68" s="28">
        <f t="shared" ca="1" si="134"/>
        <v>10.494999999999999</v>
      </c>
      <c r="BJ68" s="28">
        <f t="shared" ca="1" si="135"/>
        <v>16.13</v>
      </c>
      <c r="BK68" s="28">
        <f t="shared" ca="1" si="136"/>
        <v>9.9449999999999985</v>
      </c>
      <c r="BL68" s="28">
        <f t="shared" ca="1" si="137"/>
        <v>13.42</v>
      </c>
      <c r="BM68" s="29">
        <f t="shared" ca="1" si="138"/>
        <v>10.059999999999999</v>
      </c>
      <c r="BO68" s="44" t="str">
        <f t="shared" si="275"/>
        <v>gr4</v>
      </c>
      <c r="BP68" s="40" t="str">
        <f t="shared" si="276"/>
        <v>4bios1</v>
      </c>
      <c r="BQ68" s="40" t="str">
        <f t="shared" si="277"/>
        <v>tech38</v>
      </c>
      <c r="BR68" s="27">
        <f t="shared" ca="1" si="278"/>
        <v>7.5100000000000007</v>
      </c>
      <c r="BS68" s="27">
        <f t="shared" ca="1" si="279"/>
        <v>21.14</v>
      </c>
      <c r="BT68" s="27" t="e">
        <f t="shared" ca="1" si="280"/>
        <v>#VALUE!</v>
      </c>
      <c r="BU68" s="27">
        <f t="shared" ca="1" si="281"/>
        <v>12.895</v>
      </c>
      <c r="BV68" s="27">
        <f t="shared" ca="1" si="282"/>
        <v>10.494999999999999</v>
      </c>
      <c r="BW68" s="27">
        <f t="shared" ca="1" si="283"/>
        <v>16.13</v>
      </c>
      <c r="BX68" s="27">
        <f t="shared" ca="1" si="284"/>
        <v>9.9449999999999985</v>
      </c>
      <c r="BY68" s="27">
        <f t="shared" ca="1" si="285"/>
        <v>13.42</v>
      </c>
      <c r="BZ68" s="45">
        <f t="shared" ca="1" si="286"/>
        <v>10.059999999999999</v>
      </c>
      <c r="CC68" s="53" t="str">
        <f t="shared" si="287"/>
        <v>gr4</v>
      </c>
      <c r="CD68" s="54" t="str">
        <f t="shared" si="288"/>
        <v>4bios1</v>
      </c>
      <c r="CE68" s="54" t="str">
        <f t="shared" si="289"/>
        <v>tech38</v>
      </c>
      <c r="CF68" s="27">
        <f t="shared" ca="1" si="290"/>
        <v>0.5</v>
      </c>
      <c r="CG68" s="27">
        <f t="shared" ca="1" si="291"/>
        <v>0.5</v>
      </c>
      <c r="CH68" s="27" t="e">
        <f t="shared" ca="1" si="292"/>
        <v>#VALUE!</v>
      </c>
      <c r="CI68" s="27">
        <f t="shared" ca="1" si="293"/>
        <v>0.5</v>
      </c>
      <c r="CJ68" s="27">
        <f t="shared" ca="1" si="294"/>
        <v>0.5</v>
      </c>
      <c r="CK68" s="27">
        <f t="shared" ca="1" si="295"/>
        <v>0.5</v>
      </c>
      <c r="CL68" s="27">
        <f t="shared" ca="1" si="296"/>
        <v>0.5</v>
      </c>
      <c r="CM68" s="27">
        <f t="shared" ca="1" si="297"/>
        <v>0.5</v>
      </c>
      <c r="CN68" s="45">
        <f t="shared" ca="1" si="298"/>
        <v>0.5</v>
      </c>
    </row>
    <row r="69" spans="3:92" x14ac:dyDescent="0.25">
      <c r="C69" t="str">
        <f t="shared" si="299"/>
        <v>gr4</v>
      </c>
      <c r="D69" t="s">
        <v>112</v>
      </c>
      <c r="E69" t="s">
        <v>69</v>
      </c>
      <c r="G69" s="10">
        <f t="shared" si="300"/>
        <v>7</v>
      </c>
      <c r="H69" s="6">
        <f t="shared" si="301"/>
        <v>19</v>
      </c>
      <c r="I69" s="6">
        <f t="shared" si="302"/>
        <v>17</v>
      </c>
      <c r="J69" s="6">
        <f t="shared" si="303"/>
        <v>12.64</v>
      </c>
      <c r="K69" s="6">
        <f t="shared" si="304"/>
        <v>10.77</v>
      </c>
      <c r="L69" s="6">
        <f t="shared" si="305"/>
        <v>11.98</v>
      </c>
      <c r="M69" s="6">
        <f t="shared" si="306"/>
        <v>10.01</v>
      </c>
      <c r="N69" s="6">
        <f t="shared" si="307"/>
        <v>13.08</v>
      </c>
      <c r="O69" s="11">
        <f t="shared" si="308"/>
        <v>10.25</v>
      </c>
      <c r="Q69" s="10">
        <f t="shared" ref="Q69:Y69" ca="1" si="312">Q68</f>
        <v>0.31999999999999984</v>
      </c>
      <c r="R69" s="6">
        <f t="shared" ca="1" si="312"/>
        <v>2.1799999999999997</v>
      </c>
      <c r="S69" s="6">
        <f t="shared" ca="1" si="312"/>
        <v>-0.35</v>
      </c>
      <c r="T69" s="6">
        <f t="shared" ca="1" si="312"/>
        <v>0.13499999999999998</v>
      </c>
      <c r="U69" s="6">
        <f t="shared" ca="1" si="312"/>
        <v>-4.4999999999999998E-2</v>
      </c>
      <c r="V69" s="6">
        <f t="shared" ca="1" si="312"/>
        <v>0.19999999999999996</v>
      </c>
      <c r="W69" s="6">
        <f t="shared" ca="1" si="312"/>
        <v>-5.0000000000000044E-3</v>
      </c>
      <c r="X69" s="6">
        <f t="shared" ca="1" si="312"/>
        <v>0.11000000000000001</v>
      </c>
      <c r="Y69" s="11">
        <f t="shared" ca="1" si="312"/>
        <v>-4.9999999999999989E-2</v>
      </c>
      <c r="AA69" s="10">
        <f t="shared" ref="AA69:AI69" ca="1" si="313">RANDBETWEEN(0,AA114)/100-AA114/100/2</f>
        <v>0.14000000000000001</v>
      </c>
      <c r="AB69" s="6">
        <f t="shared" ca="1" si="313"/>
        <v>-0.16</v>
      </c>
      <c r="AC69" s="6">
        <f t="shared" ca="1" si="313"/>
        <v>-0.16999999999999998</v>
      </c>
      <c r="AD69" s="6">
        <f t="shared" ca="1" si="313"/>
        <v>0.21000000000000002</v>
      </c>
      <c r="AE69" s="6">
        <f t="shared" ca="1" si="313"/>
        <v>-0.16</v>
      </c>
      <c r="AF69" s="6">
        <f t="shared" ca="1" si="313"/>
        <v>0.16999999999999998</v>
      </c>
      <c r="AG69" s="6">
        <f t="shared" ca="1" si="313"/>
        <v>0</v>
      </c>
      <c r="AH69" s="6">
        <f t="shared" ca="1" si="313"/>
        <v>4.9999999999999989E-2</v>
      </c>
      <c r="AI69" s="11">
        <f t="shared" ca="1" si="313"/>
        <v>7.0000000000000007E-2</v>
      </c>
      <c r="AK69" s="10"/>
      <c r="AL69" s="6"/>
      <c r="AM69" s="6" t="s">
        <v>18</v>
      </c>
      <c r="AN69" s="6"/>
      <c r="AO69" s="6"/>
      <c r="AP69" s="6"/>
      <c r="AQ69" s="6"/>
      <c r="AR69" s="6"/>
      <c r="AS69" s="11"/>
      <c r="AU69" s="10">
        <f t="shared" ca="1" si="267"/>
        <v>7.46</v>
      </c>
      <c r="AV69" s="6">
        <f t="shared" ca="1" si="268"/>
        <v>21.02</v>
      </c>
      <c r="AW69" s="6" t="e">
        <f t="shared" ca="1" si="269"/>
        <v>#VALUE!</v>
      </c>
      <c r="AX69" s="6">
        <f t="shared" ca="1" si="270"/>
        <v>12.985000000000001</v>
      </c>
      <c r="AY69" s="6">
        <f t="shared" ca="1" si="271"/>
        <v>10.565</v>
      </c>
      <c r="AZ69" s="6">
        <f t="shared" ca="1" si="311"/>
        <v>12.35</v>
      </c>
      <c r="BA69" s="6">
        <f t="shared" ca="1" si="272"/>
        <v>10.004999999999999</v>
      </c>
      <c r="BB69" s="6">
        <f t="shared" ca="1" si="273"/>
        <v>13.24</v>
      </c>
      <c r="BC69" s="11">
        <f t="shared" ca="1" si="274"/>
        <v>10.27</v>
      </c>
      <c r="BD69" s="15" t="str">
        <f t="shared" si="36"/>
        <v>gr4</v>
      </c>
      <c r="BE69" s="27">
        <f t="shared" ca="1" si="130"/>
        <v>7.46</v>
      </c>
      <c r="BF69" s="28">
        <f t="shared" ca="1" si="131"/>
        <v>21.02</v>
      </c>
      <c r="BG69" s="28" t="e">
        <f t="shared" ca="1" si="132"/>
        <v>#VALUE!</v>
      </c>
      <c r="BH69" s="28">
        <f t="shared" ca="1" si="133"/>
        <v>12.985000000000001</v>
      </c>
      <c r="BI69" s="28">
        <f t="shared" ca="1" si="134"/>
        <v>10.565</v>
      </c>
      <c r="BJ69" s="28">
        <f t="shared" ca="1" si="135"/>
        <v>12.35</v>
      </c>
      <c r="BK69" s="28">
        <f t="shared" ca="1" si="136"/>
        <v>10.004999999999999</v>
      </c>
      <c r="BL69" s="28">
        <f t="shared" ca="1" si="137"/>
        <v>13.24</v>
      </c>
      <c r="BM69" s="29">
        <f t="shared" ca="1" si="138"/>
        <v>10.27</v>
      </c>
      <c r="BO69" s="44" t="str">
        <f t="shared" si="275"/>
        <v>gr4</v>
      </c>
      <c r="BP69" s="40" t="str">
        <f t="shared" si="276"/>
        <v>4bios1</v>
      </c>
      <c r="BQ69" s="40" t="str">
        <f t="shared" si="277"/>
        <v>tech39</v>
      </c>
      <c r="BR69" s="27">
        <f t="shared" ca="1" si="278"/>
        <v>7.46</v>
      </c>
      <c r="BS69" s="27">
        <f t="shared" ca="1" si="279"/>
        <v>21.02</v>
      </c>
      <c r="BT69" s="27" t="e">
        <f t="shared" ca="1" si="280"/>
        <v>#VALUE!</v>
      </c>
      <c r="BU69" s="27">
        <f t="shared" ca="1" si="281"/>
        <v>12.985000000000001</v>
      </c>
      <c r="BV69" s="27">
        <f t="shared" ca="1" si="282"/>
        <v>10.565</v>
      </c>
      <c r="BW69" s="27">
        <f t="shared" ca="1" si="283"/>
        <v>12.35</v>
      </c>
      <c r="BX69" s="27">
        <f t="shared" ca="1" si="284"/>
        <v>10.004999999999999</v>
      </c>
      <c r="BY69" s="27">
        <f t="shared" ca="1" si="285"/>
        <v>13.24</v>
      </c>
      <c r="BZ69" s="45">
        <f t="shared" ca="1" si="286"/>
        <v>10.27</v>
      </c>
      <c r="CC69" s="53" t="str">
        <f t="shared" si="287"/>
        <v>gr4</v>
      </c>
      <c r="CD69" s="54" t="str">
        <f t="shared" si="288"/>
        <v>4bios1</v>
      </c>
      <c r="CE69" s="54" t="str">
        <f t="shared" si="289"/>
        <v>tech39</v>
      </c>
      <c r="CF69" s="27">
        <f t="shared" ca="1" si="290"/>
        <v>0.5</v>
      </c>
      <c r="CG69" s="27">
        <f t="shared" ca="1" si="291"/>
        <v>0.5</v>
      </c>
      <c r="CH69" s="27" t="e">
        <f t="shared" ca="1" si="292"/>
        <v>#VALUE!</v>
      </c>
      <c r="CI69" s="27">
        <f t="shared" ca="1" si="293"/>
        <v>0.5</v>
      </c>
      <c r="CJ69" s="27">
        <f t="shared" ca="1" si="294"/>
        <v>0.5</v>
      </c>
      <c r="CK69" s="27">
        <f t="shared" ca="1" si="295"/>
        <v>0.5</v>
      </c>
      <c r="CL69" s="27">
        <f t="shared" ca="1" si="296"/>
        <v>0.5</v>
      </c>
      <c r="CM69" s="27">
        <f t="shared" ca="1" si="297"/>
        <v>0.5</v>
      </c>
      <c r="CN69" s="45">
        <f t="shared" ca="1" si="298"/>
        <v>0.5</v>
      </c>
    </row>
    <row r="70" spans="3:92" x14ac:dyDescent="0.25">
      <c r="C70" t="str">
        <f t="shared" si="299"/>
        <v>gr4</v>
      </c>
      <c r="D70" t="s">
        <v>112</v>
      </c>
      <c r="E70" t="s">
        <v>70</v>
      </c>
      <c r="G70" s="12">
        <f t="shared" si="300"/>
        <v>7</v>
      </c>
      <c r="H70" s="13">
        <f t="shared" si="301"/>
        <v>19</v>
      </c>
      <c r="I70" s="13">
        <f t="shared" si="302"/>
        <v>17</v>
      </c>
      <c r="J70" s="13">
        <f t="shared" si="303"/>
        <v>12.64</v>
      </c>
      <c r="K70" s="13">
        <f t="shared" si="304"/>
        <v>10.77</v>
      </c>
      <c r="L70" s="13">
        <f t="shared" si="305"/>
        <v>11.98</v>
      </c>
      <c r="M70" s="13">
        <f t="shared" si="306"/>
        <v>10.01</v>
      </c>
      <c r="N70" s="13">
        <f t="shared" si="307"/>
        <v>13.08</v>
      </c>
      <c r="O70" s="14">
        <f t="shared" si="308"/>
        <v>10.25</v>
      </c>
      <c r="Q70" s="12">
        <f t="shared" ref="Q70:Y70" ca="1" si="314">Q69</f>
        <v>0.31999999999999984</v>
      </c>
      <c r="R70" s="13">
        <f t="shared" ca="1" si="314"/>
        <v>2.1799999999999997</v>
      </c>
      <c r="S70" s="13">
        <f t="shared" ca="1" si="314"/>
        <v>-0.35</v>
      </c>
      <c r="T70" s="13">
        <f t="shared" ca="1" si="314"/>
        <v>0.13499999999999998</v>
      </c>
      <c r="U70" s="13">
        <f t="shared" ca="1" si="314"/>
        <v>-4.4999999999999998E-2</v>
      </c>
      <c r="V70" s="13">
        <f t="shared" ca="1" si="314"/>
        <v>0.19999999999999996</v>
      </c>
      <c r="W70" s="13">
        <f t="shared" ca="1" si="314"/>
        <v>-5.0000000000000044E-3</v>
      </c>
      <c r="X70" s="13">
        <f t="shared" ca="1" si="314"/>
        <v>0.11000000000000001</v>
      </c>
      <c r="Y70" s="14">
        <f t="shared" ca="1" si="314"/>
        <v>-4.9999999999999989E-2</v>
      </c>
      <c r="AA70" s="12">
        <f t="shared" ref="AA70:AI70" ca="1" si="315">RANDBETWEEN(0,AA114)/100-AA114/100/2</f>
        <v>0.16999999999999998</v>
      </c>
      <c r="AB70" s="13">
        <f t="shared" ca="1" si="315"/>
        <v>0.21000000000000002</v>
      </c>
      <c r="AC70" s="13">
        <f t="shared" ca="1" si="315"/>
        <v>3.0000000000000027E-2</v>
      </c>
      <c r="AD70" s="13">
        <f t="shared" ca="1" si="315"/>
        <v>-7.0000000000000007E-2</v>
      </c>
      <c r="AE70" s="13">
        <f t="shared" ca="1" si="315"/>
        <v>-0.16999999999999998</v>
      </c>
      <c r="AF70" s="13">
        <f t="shared" ca="1" si="315"/>
        <v>0.21999999999999997</v>
      </c>
      <c r="AG70" s="13">
        <f t="shared" ca="1" si="315"/>
        <v>0.18</v>
      </c>
      <c r="AH70" s="13">
        <f t="shared" ca="1" si="315"/>
        <v>0.15000000000000002</v>
      </c>
      <c r="AI70" s="14">
        <f t="shared" ca="1" si="315"/>
        <v>0.21000000000000002</v>
      </c>
      <c r="AK70" s="12"/>
      <c r="AL70" s="13">
        <v>4</v>
      </c>
      <c r="AM70" s="13" t="s">
        <v>18</v>
      </c>
      <c r="AN70" s="13" t="s">
        <v>18</v>
      </c>
      <c r="AO70" s="13"/>
      <c r="AP70" s="13"/>
      <c r="AQ70" s="13"/>
      <c r="AR70" s="13"/>
      <c r="AS70" s="14"/>
      <c r="AU70" s="12">
        <f t="shared" ca="1" si="267"/>
        <v>7.49</v>
      </c>
      <c r="AV70" s="13">
        <f t="shared" ca="1" si="268"/>
        <v>25.39</v>
      </c>
      <c r="AW70" s="13" t="e">
        <f t="shared" ca="1" si="269"/>
        <v>#VALUE!</v>
      </c>
      <c r="AX70" s="13" t="e">
        <f t="shared" ca="1" si="270"/>
        <v>#VALUE!</v>
      </c>
      <c r="AY70" s="13">
        <f t="shared" ca="1" si="271"/>
        <v>10.555</v>
      </c>
      <c r="AZ70" s="13">
        <f t="shared" ca="1" si="311"/>
        <v>12.4</v>
      </c>
      <c r="BA70" s="13">
        <f t="shared" ca="1" si="272"/>
        <v>10.184999999999999</v>
      </c>
      <c r="BB70" s="13">
        <f t="shared" ca="1" si="273"/>
        <v>13.34</v>
      </c>
      <c r="BC70" s="14">
        <f t="shared" ca="1" si="274"/>
        <v>10.41</v>
      </c>
      <c r="BD70" s="15" t="str">
        <f t="shared" si="36"/>
        <v>gr4</v>
      </c>
      <c r="BE70" s="30">
        <f t="shared" ca="1" si="130"/>
        <v>7.49</v>
      </c>
      <c r="BF70" s="31">
        <f t="shared" ca="1" si="131"/>
        <v>25.39</v>
      </c>
      <c r="BG70" s="31" t="e">
        <f t="shared" ca="1" si="132"/>
        <v>#VALUE!</v>
      </c>
      <c r="BH70" s="31" t="e">
        <f t="shared" ca="1" si="133"/>
        <v>#VALUE!</v>
      </c>
      <c r="BI70" s="31">
        <f t="shared" ca="1" si="134"/>
        <v>10.555</v>
      </c>
      <c r="BJ70" s="31">
        <f t="shared" ca="1" si="135"/>
        <v>12.4</v>
      </c>
      <c r="BK70" s="31">
        <f t="shared" ca="1" si="136"/>
        <v>10.184999999999999</v>
      </c>
      <c r="BL70" s="31">
        <f t="shared" ca="1" si="137"/>
        <v>13.34</v>
      </c>
      <c r="BM70" s="32">
        <f t="shared" ca="1" si="138"/>
        <v>10.41</v>
      </c>
      <c r="BO70" s="44" t="str">
        <f t="shared" si="275"/>
        <v>gr4</v>
      </c>
      <c r="BP70" s="40" t="str">
        <f t="shared" si="276"/>
        <v>4bios1</v>
      </c>
      <c r="BQ70" s="40" t="str">
        <f t="shared" si="277"/>
        <v>tech40</v>
      </c>
      <c r="BR70" s="27">
        <f t="shared" ca="1" si="278"/>
        <v>7.49</v>
      </c>
      <c r="BS70" s="27">
        <f t="shared" ca="1" si="279"/>
        <v>25.39</v>
      </c>
      <c r="BT70" s="27" t="e">
        <f t="shared" ca="1" si="280"/>
        <v>#VALUE!</v>
      </c>
      <c r="BU70" s="27" t="e">
        <f t="shared" ca="1" si="281"/>
        <v>#VALUE!</v>
      </c>
      <c r="BV70" s="27">
        <f t="shared" ca="1" si="282"/>
        <v>10.555</v>
      </c>
      <c r="BW70" s="27">
        <f t="shared" ca="1" si="283"/>
        <v>12.4</v>
      </c>
      <c r="BX70" s="27">
        <f t="shared" ca="1" si="284"/>
        <v>10.184999999999999</v>
      </c>
      <c r="BY70" s="27">
        <f t="shared" ca="1" si="285"/>
        <v>13.34</v>
      </c>
      <c r="BZ70" s="45">
        <f t="shared" ca="1" si="286"/>
        <v>10.41</v>
      </c>
      <c r="CC70" s="53" t="str">
        <f t="shared" si="287"/>
        <v>gr4</v>
      </c>
      <c r="CD70" s="54" t="str">
        <f t="shared" si="288"/>
        <v>4bios1</v>
      </c>
      <c r="CE70" s="54" t="str">
        <f t="shared" si="289"/>
        <v>tech40</v>
      </c>
      <c r="CF70" s="27">
        <f t="shared" ca="1" si="290"/>
        <v>0.5</v>
      </c>
      <c r="CG70" s="27">
        <f t="shared" ca="1" si="291"/>
        <v>0.5</v>
      </c>
      <c r="CH70" s="27" t="e">
        <f t="shared" ca="1" si="292"/>
        <v>#VALUE!</v>
      </c>
      <c r="CI70" s="27" t="e">
        <f t="shared" ca="1" si="293"/>
        <v>#VALUE!</v>
      </c>
      <c r="CJ70" s="27">
        <f t="shared" ca="1" si="294"/>
        <v>0.5</v>
      </c>
      <c r="CK70" s="27">
        <f t="shared" ca="1" si="295"/>
        <v>0.5</v>
      </c>
      <c r="CL70" s="27">
        <f t="shared" ca="1" si="296"/>
        <v>0.5</v>
      </c>
      <c r="CM70" s="27">
        <f t="shared" ca="1" si="297"/>
        <v>0.5</v>
      </c>
      <c r="CN70" s="45">
        <f t="shared" ca="1" si="298"/>
        <v>0.5</v>
      </c>
    </row>
    <row r="71" spans="3:92" x14ac:dyDescent="0.25">
      <c r="C71" t="str">
        <f t="shared" si="299"/>
        <v>gr4</v>
      </c>
      <c r="D71" t="s">
        <v>113</v>
      </c>
      <c r="E71" t="s">
        <v>71</v>
      </c>
      <c r="G71" s="7">
        <f t="shared" si="300"/>
        <v>7</v>
      </c>
      <c r="H71" s="8">
        <f t="shared" si="301"/>
        <v>19</v>
      </c>
      <c r="I71" s="8">
        <f t="shared" si="302"/>
        <v>17</v>
      </c>
      <c r="J71" s="8">
        <f t="shared" si="303"/>
        <v>12.64</v>
      </c>
      <c r="K71" s="8">
        <f t="shared" si="304"/>
        <v>10.77</v>
      </c>
      <c r="L71" s="8">
        <f t="shared" si="305"/>
        <v>11.98</v>
      </c>
      <c r="M71" s="8">
        <f t="shared" si="306"/>
        <v>10.01</v>
      </c>
      <c r="N71" s="8">
        <f t="shared" si="307"/>
        <v>13.08</v>
      </c>
      <c r="O71" s="9">
        <f t="shared" si="308"/>
        <v>10.25</v>
      </c>
      <c r="Q71" s="7">
        <f t="shared" ref="Q71:Y71" ca="1" si="316">RANDBETWEEN(0,Q114)/100-Q114/100/2</f>
        <v>0.22999999999999998</v>
      </c>
      <c r="R71" s="8">
        <f t="shared" ca="1" si="316"/>
        <v>-1.8199999999999998</v>
      </c>
      <c r="S71" s="8">
        <f t="shared" ca="1" si="316"/>
        <v>-0.24</v>
      </c>
      <c r="T71" s="8">
        <f t="shared" ca="1" si="316"/>
        <v>-2.4999999999999994E-2</v>
      </c>
      <c r="U71" s="8">
        <f t="shared" ca="1" si="316"/>
        <v>-6.5000000000000002E-2</v>
      </c>
      <c r="V71" s="8">
        <f t="shared" ca="1" si="316"/>
        <v>-0.18000000000000002</v>
      </c>
      <c r="W71" s="8">
        <f t="shared" ca="1" si="316"/>
        <v>0.105</v>
      </c>
      <c r="X71" s="8">
        <f t="shared" ca="1" si="316"/>
        <v>-4.0000000000000008E-2</v>
      </c>
      <c r="Y71" s="9">
        <f t="shared" ca="1" si="316"/>
        <v>-0.03</v>
      </c>
      <c r="AA71" s="7">
        <f t="shared" ref="AA71:AI71" ca="1" si="317">RANDBETWEEN(0,AA114)/100-AA114/100/2</f>
        <v>-0.21</v>
      </c>
      <c r="AB71" s="8">
        <f t="shared" ca="1" si="317"/>
        <v>-0.16</v>
      </c>
      <c r="AC71" s="8">
        <f t="shared" ca="1" si="317"/>
        <v>-0.12</v>
      </c>
      <c r="AD71" s="8">
        <f t="shared" ca="1" si="317"/>
        <v>1.0000000000000009E-2</v>
      </c>
      <c r="AE71" s="8">
        <f t="shared" ca="1" si="317"/>
        <v>0.06</v>
      </c>
      <c r="AF71" s="8">
        <f t="shared" ca="1" si="317"/>
        <v>-0.15</v>
      </c>
      <c r="AG71" s="8">
        <f t="shared" ca="1" si="317"/>
        <v>-7.0000000000000007E-2</v>
      </c>
      <c r="AH71" s="8">
        <f t="shared" ca="1" si="317"/>
        <v>-4.9999999999999989E-2</v>
      </c>
      <c r="AI71" s="9">
        <f t="shared" ca="1" si="317"/>
        <v>0.10999999999999999</v>
      </c>
      <c r="AK71" s="7"/>
      <c r="AL71" s="8"/>
      <c r="AM71" s="8" t="s">
        <v>18</v>
      </c>
      <c r="AN71" s="8"/>
      <c r="AO71" s="8"/>
      <c r="AP71" s="8">
        <v>-18</v>
      </c>
      <c r="AQ71" s="8"/>
      <c r="AR71" s="8"/>
      <c r="AS71" s="9"/>
      <c r="AU71" s="7">
        <f t="shared" ca="1" si="267"/>
        <v>7.0200000000000005</v>
      </c>
      <c r="AV71" s="8">
        <f t="shared" ca="1" si="268"/>
        <v>17.02</v>
      </c>
      <c r="AW71" s="8" t="e">
        <f t="shared" ca="1" si="269"/>
        <v>#VALUE!</v>
      </c>
      <c r="AX71" s="8">
        <f t="shared" ca="1" si="270"/>
        <v>12.625</v>
      </c>
      <c r="AY71" s="8">
        <f t="shared" ca="1" si="271"/>
        <v>10.765000000000001</v>
      </c>
      <c r="AZ71" s="8">
        <f t="shared" ca="1" si="311"/>
        <v>-6.35</v>
      </c>
      <c r="BA71" s="8">
        <f t="shared" ca="1" si="272"/>
        <v>10.045</v>
      </c>
      <c r="BB71" s="8">
        <f t="shared" ca="1" si="273"/>
        <v>12.99</v>
      </c>
      <c r="BC71" s="9">
        <f t="shared" ca="1" si="274"/>
        <v>10.33</v>
      </c>
      <c r="BD71" s="15" t="str">
        <f t="shared" si="36"/>
        <v>gr4</v>
      </c>
      <c r="BE71" s="24">
        <f t="shared" ca="1" si="130"/>
        <v>7.0200000000000005</v>
      </c>
      <c r="BF71" s="25">
        <f t="shared" ca="1" si="131"/>
        <v>17.02</v>
      </c>
      <c r="BG71" s="25" t="e">
        <f t="shared" ca="1" si="132"/>
        <v>#VALUE!</v>
      </c>
      <c r="BH71" s="25">
        <f t="shared" ca="1" si="133"/>
        <v>12.625</v>
      </c>
      <c r="BI71" s="25">
        <f t="shared" ca="1" si="134"/>
        <v>10.765000000000001</v>
      </c>
      <c r="BJ71" s="25" t="str">
        <f t="shared" ca="1" si="135"/>
        <v>low</v>
      </c>
      <c r="BK71" s="25">
        <f t="shared" ca="1" si="136"/>
        <v>10.045</v>
      </c>
      <c r="BL71" s="25">
        <f t="shared" ca="1" si="137"/>
        <v>12.99</v>
      </c>
      <c r="BM71" s="26">
        <f t="shared" ca="1" si="138"/>
        <v>10.33</v>
      </c>
      <c r="BO71" s="44" t="str">
        <f t="shared" si="275"/>
        <v>gr4</v>
      </c>
      <c r="BP71" s="40" t="str">
        <f t="shared" si="276"/>
        <v>4bios2</v>
      </c>
      <c r="BQ71" s="40" t="str">
        <f t="shared" si="277"/>
        <v>tech41</v>
      </c>
      <c r="BR71" s="27">
        <f t="shared" ca="1" si="278"/>
        <v>7.0200000000000005</v>
      </c>
      <c r="BS71" s="27">
        <f t="shared" ca="1" si="279"/>
        <v>17.02</v>
      </c>
      <c r="BT71" s="27" t="e">
        <f t="shared" ca="1" si="280"/>
        <v>#VALUE!</v>
      </c>
      <c r="BU71" s="27">
        <f t="shared" ca="1" si="281"/>
        <v>12.625</v>
      </c>
      <c r="BV71" s="27">
        <f t="shared" ca="1" si="282"/>
        <v>10.765000000000001</v>
      </c>
      <c r="BW71" s="27">
        <f t="shared" ca="1" si="283"/>
        <v>0</v>
      </c>
      <c r="BX71" s="27">
        <f t="shared" ca="1" si="284"/>
        <v>10.045</v>
      </c>
      <c r="BY71" s="27">
        <f t="shared" ca="1" si="285"/>
        <v>12.99</v>
      </c>
      <c r="BZ71" s="45">
        <f t="shared" ca="1" si="286"/>
        <v>10.33</v>
      </c>
      <c r="CC71" s="53" t="str">
        <f t="shared" si="287"/>
        <v>gr4</v>
      </c>
      <c r="CD71" s="54" t="str">
        <f t="shared" si="288"/>
        <v>4bios2</v>
      </c>
      <c r="CE71" s="54" t="str">
        <f t="shared" si="289"/>
        <v>tech41</v>
      </c>
      <c r="CF71" s="27">
        <f t="shared" ca="1" si="290"/>
        <v>0.5</v>
      </c>
      <c r="CG71" s="27">
        <f t="shared" ca="1" si="291"/>
        <v>0.5</v>
      </c>
      <c r="CH71" s="27" t="e">
        <f t="shared" ca="1" si="292"/>
        <v>#VALUE!</v>
      </c>
      <c r="CI71" s="27">
        <f t="shared" ca="1" si="293"/>
        <v>0.5</v>
      </c>
      <c r="CJ71" s="27">
        <f t="shared" ca="1" si="294"/>
        <v>0.5</v>
      </c>
      <c r="CK71" s="27">
        <f t="shared" ca="1" si="295"/>
        <v>5</v>
      </c>
      <c r="CL71" s="27">
        <f t="shared" ca="1" si="296"/>
        <v>0.5</v>
      </c>
      <c r="CM71" s="27">
        <f t="shared" ca="1" si="297"/>
        <v>0.5</v>
      </c>
      <c r="CN71" s="45">
        <f t="shared" ca="1" si="298"/>
        <v>0.5</v>
      </c>
    </row>
    <row r="72" spans="3:92" x14ac:dyDescent="0.25">
      <c r="C72" t="str">
        <f t="shared" si="299"/>
        <v>gr4</v>
      </c>
      <c r="D72" t="s">
        <v>113</v>
      </c>
      <c r="E72" t="s">
        <v>72</v>
      </c>
      <c r="G72" s="10">
        <f t="shared" si="300"/>
        <v>7</v>
      </c>
      <c r="H72" s="6">
        <f t="shared" si="301"/>
        <v>19</v>
      </c>
      <c r="I72" s="6">
        <f t="shared" si="302"/>
        <v>17</v>
      </c>
      <c r="J72" s="6">
        <f t="shared" si="303"/>
        <v>12.64</v>
      </c>
      <c r="K72" s="6">
        <f t="shared" si="304"/>
        <v>10.77</v>
      </c>
      <c r="L72" s="6">
        <f t="shared" si="305"/>
        <v>11.98</v>
      </c>
      <c r="M72" s="6">
        <f t="shared" si="306"/>
        <v>10.01</v>
      </c>
      <c r="N72" s="6">
        <f t="shared" si="307"/>
        <v>13.08</v>
      </c>
      <c r="O72" s="11">
        <f t="shared" si="308"/>
        <v>10.25</v>
      </c>
      <c r="Q72" s="10">
        <f t="shared" ref="Q72:Y72" ca="1" si="318">Q71</f>
        <v>0.22999999999999998</v>
      </c>
      <c r="R72" s="6">
        <f t="shared" ca="1" si="318"/>
        <v>-1.8199999999999998</v>
      </c>
      <c r="S72" s="6">
        <f t="shared" ca="1" si="318"/>
        <v>-0.24</v>
      </c>
      <c r="T72" s="6">
        <f t="shared" ca="1" si="318"/>
        <v>-2.4999999999999994E-2</v>
      </c>
      <c r="U72" s="6">
        <f t="shared" ca="1" si="318"/>
        <v>-6.5000000000000002E-2</v>
      </c>
      <c r="V72" s="6">
        <f t="shared" ca="1" si="318"/>
        <v>-0.18000000000000002</v>
      </c>
      <c r="W72" s="6">
        <f t="shared" ca="1" si="318"/>
        <v>0.105</v>
      </c>
      <c r="X72" s="6">
        <f t="shared" ca="1" si="318"/>
        <v>-4.0000000000000008E-2</v>
      </c>
      <c r="Y72" s="11">
        <f t="shared" ca="1" si="318"/>
        <v>-0.03</v>
      </c>
      <c r="AA72" s="10">
        <f t="shared" ref="AA72:AI72" ca="1" si="319">RANDBETWEEN(0,AA114)/100-AA114/100/2</f>
        <v>-0.25</v>
      </c>
      <c r="AB72" s="6">
        <f t="shared" ca="1" si="319"/>
        <v>-0.16</v>
      </c>
      <c r="AC72" s="6">
        <f t="shared" ca="1" si="319"/>
        <v>3.999999999999998E-2</v>
      </c>
      <c r="AD72" s="6">
        <f t="shared" ca="1" si="319"/>
        <v>-0.18</v>
      </c>
      <c r="AE72" s="6">
        <f t="shared" ca="1" si="319"/>
        <v>9.0000000000000024E-2</v>
      </c>
      <c r="AF72" s="6">
        <f t="shared" ca="1" si="319"/>
        <v>4.9999999999999989E-2</v>
      </c>
      <c r="AG72" s="6">
        <f t="shared" ca="1" si="319"/>
        <v>-0.19</v>
      </c>
      <c r="AH72" s="6">
        <f t="shared" ca="1" si="319"/>
        <v>-0.21</v>
      </c>
      <c r="AI72" s="11">
        <f t="shared" ca="1" si="319"/>
        <v>8.0000000000000016E-2</v>
      </c>
      <c r="AK72" s="10"/>
      <c r="AL72" s="6"/>
      <c r="AM72" s="6" t="s">
        <v>18</v>
      </c>
      <c r="AN72" s="6"/>
      <c r="AO72" s="6"/>
      <c r="AP72" s="6">
        <v>-18</v>
      </c>
      <c r="AQ72" s="6"/>
      <c r="AR72" s="6"/>
      <c r="AS72" s="11"/>
      <c r="AU72" s="10">
        <f t="shared" ca="1" si="267"/>
        <v>6.98</v>
      </c>
      <c r="AV72" s="6">
        <f t="shared" ca="1" si="268"/>
        <v>17.02</v>
      </c>
      <c r="AW72" s="6" t="e">
        <f t="shared" ca="1" si="269"/>
        <v>#VALUE!</v>
      </c>
      <c r="AX72" s="6">
        <f t="shared" ca="1" si="270"/>
        <v>12.435</v>
      </c>
      <c r="AY72" s="6">
        <f t="shared" ca="1" si="271"/>
        <v>10.795</v>
      </c>
      <c r="AZ72" s="6">
        <f t="shared" ca="1" si="311"/>
        <v>-6.1499999999999986</v>
      </c>
      <c r="BA72" s="6">
        <f t="shared" ca="1" si="272"/>
        <v>9.9250000000000007</v>
      </c>
      <c r="BB72" s="6">
        <f t="shared" ca="1" si="273"/>
        <v>12.83</v>
      </c>
      <c r="BC72" s="11">
        <f t="shared" ca="1" si="274"/>
        <v>10.3</v>
      </c>
      <c r="BD72" s="15" t="str">
        <f t="shared" si="36"/>
        <v>gr4</v>
      </c>
      <c r="BE72" s="27">
        <f t="shared" ca="1" si="130"/>
        <v>6.98</v>
      </c>
      <c r="BF72" s="28">
        <f t="shared" ca="1" si="131"/>
        <v>17.02</v>
      </c>
      <c r="BG72" s="28" t="e">
        <f t="shared" ca="1" si="132"/>
        <v>#VALUE!</v>
      </c>
      <c r="BH72" s="28">
        <f t="shared" ca="1" si="133"/>
        <v>12.435</v>
      </c>
      <c r="BI72" s="28">
        <f t="shared" ca="1" si="134"/>
        <v>10.795</v>
      </c>
      <c r="BJ72" s="28" t="str">
        <f t="shared" ca="1" si="135"/>
        <v>low</v>
      </c>
      <c r="BK72" s="28">
        <f t="shared" ca="1" si="136"/>
        <v>9.9250000000000007</v>
      </c>
      <c r="BL72" s="28">
        <f t="shared" ca="1" si="137"/>
        <v>12.83</v>
      </c>
      <c r="BM72" s="29">
        <f t="shared" ca="1" si="138"/>
        <v>10.3</v>
      </c>
      <c r="BO72" s="44" t="str">
        <f t="shared" si="275"/>
        <v>gr4</v>
      </c>
      <c r="BP72" s="40" t="str">
        <f t="shared" si="276"/>
        <v>4bios2</v>
      </c>
      <c r="BQ72" s="40" t="str">
        <f t="shared" si="277"/>
        <v>tech42</v>
      </c>
      <c r="BR72" s="27">
        <f t="shared" ca="1" si="278"/>
        <v>6.98</v>
      </c>
      <c r="BS72" s="27">
        <f t="shared" ca="1" si="279"/>
        <v>17.02</v>
      </c>
      <c r="BT72" s="27" t="e">
        <f t="shared" ca="1" si="280"/>
        <v>#VALUE!</v>
      </c>
      <c r="BU72" s="27">
        <f t="shared" ca="1" si="281"/>
        <v>12.435</v>
      </c>
      <c r="BV72" s="27">
        <f t="shared" ca="1" si="282"/>
        <v>10.795</v>
      </c>
      <c r="BW72" s="27">
        <f t="shared" ca="1" si="283"/>
        <v>0</v>
      </c>
      <c r="BX72" s="27">
        <f t="shared" ca="1" si="284"/>
        <v>9.9250000000000007</v>
      </c>
      <c r="BY72" s="27">
        <f t="shared" ca="1" si="285"/>
        <v>12.83</v>
      </c>
      <c r="BZ72" s="45">
        <f t="shared" ca="1" si="286"/>
        <v>10.3</v>
      </c>
      <c r="CC72" s="53" t="str">
        <f t="shared" si="287"/>
        <v>gr4</v>
      </c>
      <c r="CD72" s="54" t="str">
        <f t="shared" si="288"/>
        <v>4bios2</v>
      </c>
      <c r="CE72" s="54" t="str">
        <f t="shared" si="289"/>
        <v>tech42</v>
      </c>
      <c r="CF72" s="27">
        <f t="shared" ca="1" si="290"/>
        <v>0.5</v>
      </c>
      <c r="CG72" s="27">
        <f t="shared" ca="1" si="291"/>
        <v>0.5</v>
      </c>
      <c r="CH72" s="27" t="e">
        <f t="shared" ca="1" si="292"/>
        <v>#VALUE!</v>
      </c>
      <c r="CI72" s="27">
        <f t="shared" ca="1" si="293"/>
        <v>0.5</v>
      </c>
      <c r="CJ72" s="27">
        <f t="shared" ca="1" si="294"/>
        <v>0.5</v>
      </c>
      <c r="CK72" s="27">
        <f t="shared" ca="1" si="295"/>
        <v>5</v>
      </c>
      <c r="CL72" s="27">
        <f t="shared" ca="1" si="296"/>
        <v>0.5</v>
      </c>
      <c r="CM72" s="27">
        <f t="shared" ca="1" si="297"/>
        <v>0.5</v>
      </c>
      <c r="CN72" s="45">
        <f t="shared" ca="1" si="298"/>
        <v>0.5</v>
      </c>
    </row>
    <row r="73" spans="3:92" x14ac:dyDescent="0.25">
      <c r="C73" t="str">
        <f t="shared" si="299"/>
        <v>gr4</v>
      </c>
      <c r="D73" t="s">
        <v>113</v>
      </c>
      <c r="E73" t="s">
        <v>73</v>
      </c>
      <c r="G73" s="10">
        <f t="shared" si="300"/>
        <v>7</v>
      </c>
      <c r="H73" s="6">
        <f t="shared" si="301"/>
        <v>19</v>
      </c>
      <c r="I73" s="6">
        <f t="shared" si="302"/>
        <v>17</v>
      </c>
      <c r="J73" s="6">
        <f t="shared" si="303"/>
        <v>12.64</v>
      </c>
      <c r="K73" s="6">
        <f t="shared" si="304"/>
        <v>10.77</v>
      </c>
      <c r="L73" s="6">
        <f t="shared" si="305"/>
        <v>11.98</v>
      </c>
      <c r="M73" s="6">
        <f t="shared" si="306"/>
        <v>10.01</v>
      </c>
      <c r="N73" s="6">
        <f t="shared" si="307"/>
        <v>13.08</v>
      </c>
      <c r="O73" s="11">
        <f t="shared" si="308"/>
        <v>10.25</v>
      </c>
      <c r="Q73" s="10">
        <f t="shared" ref="Q73:Y73" ca="1" si="320">Q72</f>
        <v>0.22999999999999998</v>
      </c>
      <c r="R73" s="6">
        <f t="shared" ca="1" si="320"/>
        <v>-1.8199999999999998</v>
      </c>
      <c r="S73" s="6">
        <f t="shared" ca="1" si="320"/>
        <v>-0.24</v>
      </c>
      <c r="T73" s="6">
        <f t="shared" ca="1" si="320"/>
        <v>-2.4999999999999994E-2</v>
      </c>
      <c r="U73" s="6">
        <f t="shared" ca="1" si="320"/>
        <v>-6.5000000000000002E-2</v>
      </c>
      <c r="V73" s="6">
        <f t="shared" ca="1" si="320"/>
        <v>-0.18000000000000002</v>
      </c>
      <c r="W73" s="6">
        <f t="shared" ca="1" si="320"/>
        <v>0.105</v>
      </c>
      <c r="X73" s="6">
        <f t="shared" ca="1" si="320"/>
        <v>-4.0000000000000008E-2</v>
      </c>
      <c r="Y73" s="11">
        <f t="shared" ca="1" si="320"/>
        <v>-0.03</v>
      </c>
      <c r="AA73" s="10">
        <f t="shared" ref="AA73:AI73" ca="1" si="321">RANDBETWEEN(0,AA114)/100-AA114/100/2</f>
        <v>0</v>
      </c>
      <c r="AB73" s="6">
        <f t="shared" ca="1" si="321"/>
        <v>-0.25</v>
      </c>
      <c r="AC73" s="6">
        <f t="shared" ca="1" si="321"/>
        <v>7.0000000000000007E-2</v>
      </c>
      <c r="AD73" s="6">
        <f t="shared" ca="1" si="321"/>
        <v>-7.0000000000000007E-2</v>
      </c>
      <c r="AE73" s="6">
        <f t="shared" ca="1" si="321"/>
        <v>0.19</v>
      </c>
      <c r="AF73" s="6">
        <f t="shared" ca="1" si="321"/>
        <v>0.21000000000000002</v>
      </c>
      <c r="AG73" s="6">
        <f t="shared" ca="1" si="321"/>
        <v>0.13</v>
      </c>
      <c r="AH73" s="6">
        <f t="shared" ca="1" si="321"/>
        <v>9.9999999999999978E-2</v>
      </c>
      <c r="AI73" s="11">
        <f t="shared" ca="1" si="321"/>
        <v>-1.0000000000000009E-2</v>
      </c>
      <c r="AK73" s="10"/>
      <c r="AL73" s="6"/>
      <c r="AM73" s="6" t="s">
        <v>18</v>
      </c>
      <c r="AN73" s="6"/>
      <c r="AO73" s="6"/>
      <c r="AP73" s="6">
        <v>-18</v>
      </c>
      <c r="AQ73" s="6"/>
      <c r="AR73" s="6"/>
      <c r="AS73" s="11"/>
      <c r="AU73" s="10">
        <f t="shared" ca="1" si="267"/>
        <v>7.23</v>
      </c>
      <c r="AV73" s="6">
        <f t="shared" ca="1" si="268"/>
        <v>16.93</v>
      </c>
      <c r="AW73" s="6" t="e">
        <f t="shared" ca="1" si="269"/>
        <v>#VALUE!</v>
      </c>
      <c r="AX73" s="6">
        <f t="shared" ca="1" si="270"/>
        <v>12.545</v>
      </c>
      <c r="AY73" s="6">
        <f t="shared" ca="1" si="271"/>
        <v>10.895</v>
      </c>
      <c r="AZ73" s="6">
        <f t="shared" ca="1" si="311"/>
        <v>-5.9899999999999984</v>
      </c>
      <c r="BA73" s="6">
        <f t="shared" ca="1" si="272"/>
        <v>10.245000000000001</v>
      </c>
      <c r="BB73" s="6">
        <f t="shared" ca="1" si="273"/>
        <v>13.14</v>
      </c>
      <c r="BC73" s="11">
        <f t="shared" ca="1" si="274"/>
        <v>10.210000000000001</v>
      </c>
      <c r="BD73" s="15" t="str">
        <f t="shared" si="36"/>
        <v>gr4</v>
      </c>
      <c r="BE73" s="27">
        <f t="shared" ca="1" si="130"/>
        <v>7.23</v>
      </c>
      <c r="BF73" s="28">
        <f t="shared" ca="1" si="131"/>
        <v>16.93</v>
      </c>
      <c r="BG73" s="28" t="e">
        <f t="shared" ca="1" si="132"/>
        <v>#VALUE!</v>
      </c>
      <c r="BH73" s="28">
        <f t="shared" ca="1" si="133"/>
        <v>12.545</v>
      </c>
      <c r="BI73" s="28">
        <f t="shared" ca="1" si="134"/>
        <v>10.895</v>
      </c>
      <c r="BJ73" s="28" t="str">
        <f t="shared" ca="1" si="135"/>
        <v>low</v>
      </c>
      <c r="BK73" s="28">
        <f t="shared" ca="1" si="136"/>
        <v>10.245000000000001</v>
      </c>
      <c r="BL73" s="28">
        <f t="shared" ca="1" si="137"/>
        <v>13.14</v>
      </c>
      <c r="BM73" s="29">
        <f t="shared" ca="1" si="138"/>
        <v>10.210000000000001</v>
      </c>
      <c r="BO73" s="44" t="str">
        <f t="shared" si="275"/>
        <v>gr4</v>
      </c>
      <c r="BP73" s="40" t="str">
        <f t="shared" si="276"/>
        <v>4bios2</v>
      </c>
      <c r="BQ73" s="40" t="str">
        <f t="shared" si="277"/>
        <v>tech43</v>
      </c>
      <c r="BR73" s="27">
        <f t="shared" ca="1" si="278"/>
        <v>7.23</v>
      </c>
      <c r="BS73" s="27">
        <f t="shared" ca="1" si="279"/>
        <v>16.93</v>
      </c>
      <c r="BT73" s="27" t="e">
        <f t="shared" ca="1" si="280"/>
        <v>#VALUE!</v>
      </c>
      <c r="BU73" s="27">
        <f t="shared" ca="1" si="281"/>
        <v>12.545</v>
      </c>
      <c r="BV73" s="27">
        <f t="shared" ca="1" si="282"/>
        <v>10.895</v>
      </c>
      <c r="BW73" s="27">
        <f t="shared" ca="1" si="283"/>
        <v>0</v>
      </c>
      <c r="BX73" s="27">
        <f t="shared" ca="1" si="284"/>
        <v>10.245000000000001</v>
      </c>
      <c r="BY73" s="27">
        <f t="shared" ca="1" si="285"/>
        <v>13.14</v>
      </c>
      <c r="BZ73" s="45">
        <f t="shared" ca="1" si="286"/>
        <v>10.210000000000001</v>
      </c>
      <c r="CC73" s="53" t="str">
        <f t="shared" si="287"/>
        <v>gr4</v>
      </c>
      <c r="CD73" s="54" t="str">
        <f t="shared" si="288"/>
        <v>4bios2</v>
      </c>
      <c r="CE73" s="54" t="str">
        <f t="shared" si="289"/>
        <v>tech43</v>
      </c>
      <c r="CF73" s="27">
        <f t="shared" ca="1" si="290"/>
        <v>0.5</v>
      </c>
      <c r="CG73" s="27">
        <f t="shared" ca="1" si="291"/>
        <v>0.5</v>
      </c>
      <c r="CH73" s="27" t="e">
        <f t="shared" ca="1" si="292"/>
        <v>#VALUE!</v>
      </c>
      <c r="CI73" s="27">
        <f t="shared" ca="1" si="293"/>
        <v>0.5</v>
      </c>
      <c r="CJ73" s="27">
        <f t="shared" ca="1" si="294"/>
        <v>0.5</v>
      </c>
      <c r="CK73" s="27">
        <f t="shared" ca="1" si="295"/>
        <v>5</v>
      </c>
      <c r="CL73" s="27">
        <f t="shared" ca="1" si="296"/>
        <v>0.5</v>
      </c>
      <c r="CM73" s="27">
        <f t="shared" ca="1" si="297"/>
        <v>0.5</v>
      </c>
      <c r="CN73" s="45">
        <f t="shared" ca="1" si="298"/>
        <v>0.5</v>
      </c>
    </row>
    <row r="74" spans="3:92" x14ac:dyDescent="0.25">
      <c r="C74" t="str">
        <f t="shared" si="299"/>
        <v>gr4</v>
      </c>
      <c r="D74" t="s">
        <v>113</v>
      </c>
      <c r="E74" t="s">
        <v>74</v>
      </c>
      <c r="G74" s="12">
        <f t="shared" si="300"/>
        <v>7</v>
      </c>
      <c r="H74" s="13">
        <f t="shared" si="301"/>
        <v>19</v>
      </c>
      <c r="I74" s="13">
        <f t="shared" si="302"/>
        <v>17</v>
      </c>
      <c r="J74" s="13">
        <f t="shared" si="303"/>
        <v>12.64</v>
      </c>
      <c r="K74" s="13">
        <f t="shared" si="304"/>
        <v>10.77</v>
      </c>
      <c r="L74" s="13">
        <f t="shared" si="305"/>
        <v>11.98</v>
      </c>
      <c r="M74" s="13">
        <f t="shared" si="306"/>
        <v>10.01</v>
      </c>
      <c r="N74" s="13">
        <f t="shared" si="307"/>
        <v>13.08</v>
      </c>
      <c r="O74" s="14">
        <f t="shared" si="308"/>
        <v>10.25</v>
      </c>
      <c r="Q74" s="12">
        <f t="shared" ref="Q74:Y74" ca="1" si="322">Q73</f>
        <v>0.22999999999999998</v>
      </c>
      <c r="R74" s="13">
        <f t="shared" ca="1" si="322"/>
        <v>-1.8199999999999998</v>
      </c>
      <c r="S74" s="13">
        <f t="shared" ca="1" si="322"/>
        <v>-0.24</v>
      </c>
      <c r="T74" s="13">
        <f t="shared" ca="1" si="322"/>
        <v>-2.4999999999999994E-2</v>
      </c>
      <c r="U74" s="13">
        <f t="shared" ca="1" si="322"/>
        <v>-6.5000000000000002E-2</v>
      </c>
      <c r="V74" s="13">
        <f t="shared" ca="1" si="322"/>
        <v>-0.18000000000000002</v>
      </c>
      <c r="W74" s="13">
        <f t="shared" ca="1" si="322"/>
        <v>0.105</v>
      </c>
      <c r="X74" s="13">
        <f t="shared" ca="1" si="322"/>
        <v>-4.0000000000000008E-2</v>
      </c>
      <c r="Y74" s="14">
        <f t="shared" ca="1" si="322"/>
        <v>-0.03</v>
      </c>
      <c r="AA74" s="12">
        <f t="shared" ref="AA74:AI74" ca="1" si="323">RANDBETWEEN(0,AA114)/100-AA114/100/2</f>
        <v>3.0000000000000027E-2</v>
      </c>
      <c r="AB74" s="13">
        <f t="shared" ca="1" si="323"/>
        <v>-1.999999999999999E-2</v>
      </c>
      <c r="AC74" s="13">
        <f t="shared" ca="1" si="323"/>
        <v>0</v>
      </c>
      <c r="AD74" s="13">
        <f t="shared" ca="1" si="323"/>
        <v>0.18</v>
      </c>
      <c r="AE74" s="13">
        <f t="shared" ca="1" si="323"/>
        <v>3.0000000000000027E-2</v>
      </c>
      <c r="AF74" s="13">
        <f t="shared" ca="1" si="323"/>
        <v>0.15000000000000002</v>
      </c>
      <c r="AG74" s="13">
        <f t="shared" ca="1" si="323"/>
        <v>0.06</v>
      </c>
      <c r="AH74" s="13">
        <f t="shared" ca="1" si="323"/>
        <v>-0.03</v>
      </c>
      <c r="AI74" s="14">
        <f t="shared" ca="1" si="323"/>
        <v>-0.03</v>
      </c>
      <c r="AK74" s="12"/>
      <c r="AL74" s="13"/>
      <c r="AM74" s="13" t="s">
        <v>18</v>
      </c>
      <c r="AN74" s="13"/>
      <c r="AO74" s="13"/>
      <c r="AP74" s="13">
        <v>-18</v>
      </c>
      <c r="AQ74" s="13"/>
      <c r="AR74" s="13"/>
      <c r="AS74" s="14"/>
      <c r="AU74" s="12">
        <f t="shared" ca="1" si="267"/>
        <v>7.2600000000000007</v>
      </c>
      <c r="AV74" s="13">
        <f t="shared" ca="1" si="268"/>
        <v>17.16</v>
      </c>
      <c r="AW74" s="13" t="e">
        <f t="shared" ca="1" si="269"/>
        <v>#VALUE!</v>
      </c>
      <c r="AX74" s="13">
        <f t="shared" ca="1" si="270"/>
        <v>12.795</v>
      </c>
      <c r="AY74" s="13">
        <f t="shared" ca="1" si="271"/>
        <v>10.734999999999999</v>
      </c>
      <c r="AZ74" s="13">
        <f t="shared" ca="1" si="311"/>
        <v>-6.0499999999999989</v>
      </c>
      <c r="BA74" s="13">
        <f t="shared" ca="1" si="272"/>
        <v>10.175000000000001</v>
      </c>
      <c r="BB74" s="13">
        <f t="shared" ca="1" si="273"/>
        <v>13.010000000000002</v>
      </c>
      <c r="BC74" s="14">
        <f t="shared" ca="1" si="274"/>
        <v>10.190000000000001</v>
      </c>
      <c r="BD74" s="15" t="str">
        <f t="shared" si="36"/>
        <v>gr4</v>
      </c>
      <c r="BE74" s="27">
        <f t="shared" ca="1" si="130"/>
        <v>7.2600000000000007</v>
      </c>
      <c r="BF74" s="28">
        <f t="shared" ca="1" si="131"/>
        <v>17.16</v>
      </c>
      <c r="BG74" s="28" t="e">
        <f t="shared" ca="1" si="132"/>
        <v>#VALUE!</v>
      </c>
      <c r="BH74" s="28">
        <f t="shared" ca="1" si="133"/>
        <v>12.795</v>
      </c>
      <c r="BI74" s="28">
        <f t="shared" ca="1" si="134"/>
        <v>10.734999999999999</v>
      </c>
      <c r="BJ74" s="28" t="str">
        <f t="shared" ca="1" si="135"/>
        <v>low</v>
      </c>
      <c r="BK74" s="28">
        <f t="shared" ca="1" si="136"/>
        <v>10.175000000000001</v>
      </c>
      <c r="BL74" s="28">
        <f t="shared" ca="1" si="137"/>
        <v>13.010000000000002</v>
      </c>
      <c r="BM74" s="29">
        <f t="shared" ca="1" si="138"/>
        <v>10.190000000000001</v>
      </c>
      <c r="BO74" s="44" t="str">
        <f t="shared" si="275"/>
        <v>gr4</v>
      </c>
      <c r="BP74" s="40" t="str">
        <f t="shared" si="276"/>
        <v>4bios2</v>
      </c>
      <c r="BQ74" s="40" t="str">
        <f t="shared" si="277"/>
        <v>tech44</v>
      </c>
      <c r="BR74" s="27">
        <f t="shared" ca="1" si="278"/>
        <v>7.2600000000000007</v>
      </c>
      <c r="BS74" s="27">
        <f t="shared" ca="1" si="279"/>
        <v>17.16</v>
      </c>
      <c r="BT74" s="27" t="e">
        <f t="shared" ca="1" si="280"/>
        <v>#VALUE!</v>
      </c>
      <c r="BU74" s="27">
        <f t="shared" ca="1" si="281"/>
        <v>12.795</v>
      </c>
      <c r="BV74" s="27">
        <f t="shared" ca="1" si="282"/>
        <v>10.734999999999999</v>
      </c>
      <c r="BW74" s="27">
        <f t="shared" ca="1" si="283"/>
        <v>0</v>
      </c>
      <c r="BX74" s="27">
        <f t="shared" ca="1" si="284"/>
        <v>10.175000000000001</v>
      </c>
      <c r="BY74" s="27">
        <f t="shared" ca="1" si="285"/>
        <v>13.010000000000002</v>
      </c>
      <c r="BZ74" s="45">
        <f t="shared" ca="1" si="286"/>
        <v>10.190000000000001</v>
      </c>
      <c r="CC74" s="53" t="str">
        <f t="shared" si="287"/>
        <v>gr4</v>
      </c>
      <c r="CD74" s="54" t="str">
        <f t="shared" si="288"/>
        <v>4bios2</v>
      </c>
      <c r="CE74" s="54" t="str">
        <f t="shared" si="289"/>
        <v>tech44</v>
      </c>
      <c r="CF74" s="27">
        <f t="shared" ca="1" si="290"/>
        <v>0.5</v>
      </c>
      <c r="CG74" s="27">
        <f t="shared" ca="1" si="291"/>
        <v>0.5</v>
      </c>
      <c r="CH74" s="27" t="e">
        <f t="shared" ca="1" si="292"/>
        <v>#VALUE!</v>
      </c>
      <c r="CI74" s="27">
        <f t="shared" ca="1" si="293"/>
        <v>0.5</v>
      </c>
      <c r="CJ74" s="27">
        <f t="shared" ca="1" si="294"/>
        <v>0.5</v>
      </c>
      <c r="CK74" s="27">
        <f t="shared" ca="1" si="295"/>
        <v>5</v>
      </c>
      <c r="CL74" s="27">
        <f t="shared" ca="1" si="296"/>
        <v>0.5</v>
      </c>
      <c r="CM74" s="27">
        <f t="shared" ca="1" si="297"/>
        <v>0.5</v>
      </c>
      <c r="CN74" s="45">
        <f t="shared" ca="1" si="298"/>
        <v>0.5</v>
      </c>
    </row>
    <row r="75" spans="3:92" x14ac:dyDescent="0.25">
      <c r="C75" t="str">
        <f t="shared" si="299"/>
        <v>gr4</v>
      </c>
      <c r="D75" t="s">
        <v>114</v>
      </c>
      <c r="E75" t="s">
        <v>75</v>
      </c>
      <c r="G75" s="7">
        <f t="shared" si="300"/>
        <v>7</v>
      </c>
      <c r="H75" s="8">
        <f t="shared" si="301"/>
        <v>19</v>
      </c>
      <c r="I75" s="8">
        <f t="shared" si="302"/>
        <v>17</v>
      </c>
      <c r="J75" s="8">
        <f t="shared" si="303"/>
        <v>12.64</v>
      </c>
      <c r="K75" s="8">
        <f t="shared" si="304"/>
        <v>10.77</v>
      </c>
      <c r="L75" s="8">
        <f t="shared" si="305"/>
        <v>11.98</v>
      </c>
      <c r="M75" s="8">
        <f t="shared" si="306"/>
        <v>10.01</v>
      </c>
      <c r="N75" s="8">
        <f t="shared" si="307"/>
        <v>13.08</v>
      </c>
      <c r="O75" s="9">
        <f t="shared" si="308"/>
        <v>10.25</v>
      </c>
      <c r="Q75" s="7">
        <f t="shared" ref="Q75:Y75" ca="1" si="324">RANDBETWEEN(0,Q114)/100-Q114/100/2</f>
        <v>-0.31000000000000005</v>
      </c>
      <c r="R75" s="8">
        <f t="shared" ca="1" si="324"/>
        <v>-0.35000000000000009</v>
      </c>
      <c r="S75" s="8">
        <f t="shared" ca="1" si="324"/>
        <v>0.14000000000000001</v>
      </c>
      <c r="T75" s="8">
        <f t="shared" ca="1" si="324"/>
        <v>-5.0000000000000044E-3</v>
      </c>
      <c r="U75" s="8">
        <f t="shared" ca="1" si="324"/>
        <v>3.5000000000000003E-2</v>
      </c>
      <c r="V75" s="8">
        <f t="shared" ca="1" si="324"/>
        <v>3.999999999999998E-2</v>
      </c>
      <c r="W75" s="8">
        <f t="shared" ca="1" si="324"/>
        <v>-2.5000000000000008E-2</v>
      </c>
      <c r="X75" s="8">
        <f t="shared" ca="1" si="324"/>
        <v>-0.21</v>
      </c>
      <c r="Y75" s="9">
        <f t="shared" ca="1" si="324"/>
        <v>1.0000000000000009E-2</v>
      </c>
      <c r="AA75" s="7">
        <f t="shared" ref="AA75:AI75" ca="1" si="325">RANDBETWEEN(0,AA114)/100-AA114/100/2</f>
        <v>-0.09</v>
      </c>
      <c r="AB75" s="8">
        <f t="shared" ca="1" si="325"/>
        <v>0.15999999999999998</v>
      </c>
      <c r="AC75" s="8">
        <f t="shared" ca="1" si="325"/>
        <v>-0.19</v>
      </c>
      <c r="AD75" s="8">
        <f t="shared" ca="1" si="325"/>
        <v>2.0000000000000018E-2</v>
      </c>
      <c r="AE75" s="8">
        <f t="shared" ca="1" si="325"/>
        <v>-0.10999999999999999</v>
      </c>
      <c r="AF75" s="8">
        <f t="shared" ca="1" si="325"/>
        <v>0.14000000000000001</v>
      </c>
      <c r="AG75" s="8">
        <f t="shared" ca="1" si="325"/>
        <v>-0.03</v>
      </c>
      <c r="AH75" s="8">
        <f t="shared" ca="1" si="325"/>
        <v>4.9999999999999989E-2</v>
      </c>
      <c r="AI75" s="9">
        <f t="shared" ca="1" si="325"/>
        <v>0.15000000000000002</v>
      </c>
      <c r="AK75" s="7">
        <v>1</v>
      </c>
      <c r="AL75" s="8"/>
      <c r="AM75" s="8" t="s">
        <v>18</v>
      </c>
      <c r="AN75" s="8">
        <v>4</v>
      </c>
      <c r="AO75" s="8"/>
      <c r="AP75" s="8">
        <v>-18</v>
      </c>
      <c r="AQ75" s="8"/>
      <c r="AR75" s="8"/>
      <c r="AS75" s="9"/>
      <c r="AU75" s="10">
        <f t="shared" ca="1" si="267"/>
        <v>7.6</v>
      </c>
      <c r="AV75" s="6">
        <f t="shared" ca="1" si="268"/>
        <v>18.809999999999999</v>
      </c>
      <c r="AW75" s="6" t="e">
        <f t="shared" ca="1" si="269"/>
        <v>#VALUE!</v>
      </c>
      <c r="AX75" s="6">
        <f t="shared" ca="1" si="270"/>
        <v>16.655000000000001</v>
      </c>
      <c r="AY75" s="6">
        <f t="shared" ca="1" si="271"/>
        <v>10.695</v>
      </c>
      <c r="AZ75" s="6">
        <f t="shared" ca="1" si="311"/>
        <v>-5.84</v>
      </c>
      <c r="BA75" s="6">
        <f t="shared" ca="1" si="272"/>
        <v>9.9550000000000001</v>
      </c>
      <c r="BB75" s="6">
        <f t="shared" ca="1" si="273"/>
        <v>12.92</v>
      </c>
      <c r="BC75" s="11">
        <f t="shared" ca="1" si="274"/>
        <v>10.41</v>
      </c>
      <c r="BD75" s="15" t="str">
        <f t="shared" si="36"/>
        <v>gr4</v>
      </c>
      <c r="BE75" s="24">
        <f t="shared" ca="1" si="130"/>
        <v>7.6</v>
      </c>
      <c r="BF75" s="25">
        <f t="shared" ca="1" si="131"/>
        <v>18.809999999999999</v>
      </c>
      <c r="BG75" s="25" t="e">
        <f t="shared" ca="1" si="132"/>
        <v>#VALUE!</v>
      </c>
      <c r="BH75" s="25">
        <f t="shared" ca="1" si="133"/>
        <v>16.655000000000001</v>
      </c>
      <c r="BI75" s="25">
        <f t="shared" ca="1" si="134"/>
        <v>10.695</v>
      </c>
      <c r="BJ75" s="25" t="str">
        <f t="shared" ca="1" si="135"/>
        <v>low</v>
      </c>
      <c r="BK75" s="25">
        <f t="shared" ca="1" si="136"/>
        <v>9.9550000000000001</v>
      </c>
      <c r="BL75" s="25">
        <f t="shared" ca="1" si="137"/>
        <v>12.92</v>
      </c>
      <c r="BM75" s="26">
        <f t="shared" ca="1" si="138"/>
        <v>10.41</v>
      </c>
      <c r="BO75" s="44" t="str">
        <f t="shared" si="275"/>
        <v>gr4</v>
      </c>
      <c r="BP75" s="40" t="str">
        <f t="shared" si="276"/>
        <v>4bios3</v>
      </c>
      <c r="BQ75" s="40" t="str">
        <f t="shared" si="277"/>
        <v>tech45</v>
      </c>
      <c r="BR75" s="27">
        <f t="shared" ca="1" si="278"/>
        <v>7.6</v>
      </c>
      <c r="BS75" s="27">
        <f t="shared" ca="1" si="279"/>
        <v>18.809999999999999</v>
      </c>
      <c r="BT75" s="27" t="e">
        <f t="shared" ca="1" si="280"/>
        <v>#VALUE!</v>
      </c>
      <c r="BU75" s="27">
        <f t="shared" ca="1" si="281"/>
        <v>16.655000000000001</v>
      </c>
      <c r="BV75" s="27">
        <f t="shared" ca="1" si="282"/>
        <v>10.695</v>
      </c>
      <c r="BW75" s="27">
        <f t="shared" ca="1" si="283"/>
        <v>0</v>
      </c>
      <c r="BX75" s="27">
        <f t="shared" ca="1" si="284"/>
        <v>9.9550000000000001</v>
      </c>
      <c r="BY75" s="27">
        <f t="shared" ca="1" si="285"/>
        <v>12.92</v>
      </c>
      <c r="BZ75" s="45">
        <f t="shared" ca="1" si="286"/>
        <v>10.41</v>
      </c>
      <c r="CC75" s="53" t="str">
        <f t="shared" si="287"/>
        <v>gr4</v>
      </c>
      <c r="CD75" s="54" t="str">
        <f t="shared" si="288"/>
        <v>4bios3</v>
      </c>
      <c r="CE75" s="54" t="str">
        <f t="shared" si="289"/>
        <v>tech45</v>
      </c>
      <c r="CF75" s="27">
        <f t="shared" ca="1" si="290"/>
        <v>0.5</v>
      </c>
      <c r="CG75" s="27">
        <f t="shared" ca="1" si="291"/>
        <v>0.5</v>
      </c>
      <c r="CH75" s="27" t="e">
        <f t="shared" ca="1" si="292"/>
        <v>#VALUE!</v>
      </c>
      <c r="CI75" s="27">
        <f t="shared" ca="1" si="293"/>
        <v>0.5</v>
      </c>
      <c r="CJ75" s="27">
        <f t="shared" ca="1" si="294"/>
        <v>0.5</v>
      </c>
      <c r="CK75" s="27">
        <f t="shared" ca="1" si="295"/>
        <v>5</v>
      </c>
      <c r="CL75" s="27">
        <f t="shared" ca="1" si="296"/>
        <v>0.5</v>
      </c>
      <c r="CM75" s="27">
        <f t="shared" ca="1" si="297"/>
        <v>0.5</v>
      </c>
      <c r="CN75" s="45">
        <f t="shared" ca="1" si="298"/>
        <v>0.5</v>
      </c>
    </row>
    <row r="76" spans="3:92" x14ac:dyDescent="0.25">
      <c r="C76" t="str">
        <f t="shared" si="299"/>
        <v>gr4</v>
      </c>
      <c r="D76" t="s">
        <v>114</v>
      </c>
      <c r="E76" t="s">
        <v>76</v>
      </c>
      <c r="G76" s="10">
        <f t="shared" si="300"/>
        <v>7</v>
      </c>
      <c r="H76" s="6">
        <f t="shared" si="301"/>
        <v>19</v>
      </c>
      <c r="I76" s="6">
        <f t="shared" si="302"/>
        <v>17</v>
      </c>
      <c r="J76" s="6">
        <f t="shared" si="303"/>
        <v>12.64</v>
      </c>
      <c r="K76" s="6">
        <f t="shared" si="304"/>
        <v>10.77</v>
      </c>
      <c r="L76" s="6">
        <f t="shared" si="305"/>
        <v>11.98</v>
      </c>
      <c r="M76" s="6">
        <f t="shared" si="306"/>
        <v>10.01</v>
      </c>
      <c r="N76" s="6">
        <f t="shared" si="307"/>
        <v>13.08</v>
      </c>
      <c r="O76" s="11">
        <f t="shared" si="308"/>
        <v>10.25</v>
      </c>
      <c r="Q76" s="10">
        <f t="shared" ref="Q76:Y76" ca="1" si="326">Q75</f>
        <v>-0.31000000000000005</v>
      </c>
      <c r="R76" s="6">
        <f t="shared" ca="1" si="326"/>
        <v>-0.35000000000000009</v>
      </c>
      <c r="S76" s="6">
        <f t="shared" ca="1" si="326"/>
        <v>0.14000000000000001</v>
      </c>
      <c r="T76" s="6">
        <f t="shared" ca="1" si="326"/>
        <v>-5.0000000000000044E-3</v>
      </c>
      <c r="U76" s="6">
        <f t="shared" ca="1" si="326"/>
        <v>3.5000000000000003E-2</v>
      </c>
      <c r="V76" s="6">
        <f t="shared" ca="1" si="326"/>
        <v>3.999999999999998E-2</v>
      </c>
      <c r="W76" s="6">
        <f t="shared" ca="1" si="326"/>
        <v>-2.5000000000000008E-2</v>
      </c>
      <c r="X76" s="6">
        <f t="shared" ca="1" si="326"/>
        <v>-0.21</v>
      </c>
      <c r="Y76" s="11">
        <f t="shared" ca="1" si="326"/>
        <v>1.0000000000000009E-2</v>
      </c>
      <c r="AA76" s="10">
        <f t="shared" ref="AA76:AI76" ca="1" si="327">RANDBETWEEN(0,AA114)/100-AA114/100/2</f>
        <v>0.13</v>
      </c>
      <c r="AB76" s="6">
        <f t="shared" ca="1" si="327"/>
        <v>0.21000000000000002</v>
      </c>
      <c r="AC76" s="6">
        <f t="shared" ca="1" si="327"/>
        <v>0.13</v>
      </c>
      <c r="AD76" s="6">
        <f t="shared" ca="1" si="327"/>
        <v>0.25</v>
      </c>
      <c r="AE76" s="6">
        <f t="shared" ca="1" si="327"/>
        <v>-0.10999999999999999</v>
      </c>
      <c r="AF76" s="6">
        <f t="shared" ca="1" si="327"/>
        <v>-0.25</v>
      </c>
      <c r="AG76" s="6">
        <f t="shared" ca="1" si="327"/>
        <v>-0.18</v>
      </c>
      <c r="AH76" s="6">
        <f t="shared" ca="1" si="327"/>
        <v>0.21999999999999997</v>
      </c>
      <c r="AI76" s="11">
        <f t="shared" ca="1" si="327"/>
        <v>0.16999999999999998</v>
      </c>
      <c r="AK76" s="10"/>
      <c r="AL76" s="6"/>
      <c r="AM76" s="6" t="s">
        <v>18</v>
      </c>
      <c r="AN76" s="6"/>
      <c r="AO76" s="6"/>
      <c r="AP76" s="6">
        <v>-18</v>
      </c>
      <c r="AQ76" s="6"/>
      <c r="AR76" s="6"/>
      <c r="AS76" s="11">
        <v>2</v>
      </c>
      <c r="AU76" s="10">
        <f t="shared" ca="1" si="267"/>
        <v>6.8199999999999994</v>
      </c>
      <c r="AV76" s="6">
        <f t="shared" ca="1" si="268"/>
        <v>18.86</v>
      </c>
      <c r="AW76" s="6" t="e">
        <f t="shared" ca="1" si="269"/>
        <v>#VALUE!</v>
      </c>
      <c r="AX76" s="6">
        <f t="shared" ca="1" si="270"/>
        <v>12.885</v>
      </c>
      <c r="AY76" s="6">
        <f t="shared" ca="1" si="271"/>
        <v>10.695</v>
      </c>
      <c r="AZ76" s="6">
        <f t="shared" ca="1" si="311"/>
        <v>-6.23</v>
      </c>
      <c r="BA76" s="6">
        <f t="shared" ca="1" si="272"/>
        <v>9.8049999999999997</v>
      </c>
      <c r="BB76" s="6">
        <f t="shared" ca="1" si="273"/>
        <v>13.09</v>
      </c>
      <c r="BC76" s="11">
        <f t="shared" ca="1" si="274"/>
        <v>12.43</v>
      </c>
      <c r="BD76" s="15" t="str">
        <f t="shared" si="36"/>
        <v>gr4</v>
      </c>
      <c r="BE76" s="27">
        <f t="shared" ca="1" si="130"/>
        <v>6.8199999999999994</v>
      </c>
      <c r="BF76" s="28">
        <f t="shared" ca="1" si="131"/>
        <v>18.86</v>
      </c>
      <c r="BG76" s="28" t="e">
        <f t="shared" ca="1" si="132"/>
        <v>#VALUE!</v>
      </c>
      <c r="BH76" s="28">
        <f t="shared" ca="1" si="133"/>
        <v>12.885</v>
      </c>
      <c r="BI76" s="28">
        <f t="shared" ca="1" si="134"/>
        <v>10.695</v>
      </c>
      <c r="BJ76" s="28" t="str">
        <f t="shared" ca="1" si="135"/>
        <v>low</v>
      </c>
      <c r="BK76" s="28">
        <f t="shared" ca="1" si="136"/>
        <v>9.8049999999999997</v>
      </c>
      <c r="BL76" s="28">
        <f t="shared" ca="1" si="137"/>
        <v>13.09</v>
      </c>
      <c r="BM76" s="29">
        <f t="shared" ca="1" si="138"/>
        <v>12.43</v>
      </c>
      <c r="BO76" s="44" t="str">
        <f t="shared" si="275"/>
        <v>gr4</v>
      </c>
      <c r="BP76" s="40" t="str">
        <f t="shared" si="276"/>
        <v>4bios3</v>
      </c>
      <c r="BQ76" s="40" t="str">
        <f t="shared" si="277"/>
        <v>tech46</v>
      </c>
      <c r="BR76" s="27">
        <f t="shared" ca="1" si="278"/>
        <v>6.8199999999999994</v>
      </c>
      <c r="BS76" s="27">
        <f t="shared" ca="1" si="279"/>
        <v>18.86</v>
      </c>
      <c r="BT76" s="27" t="e">
        <f t="shared" ca="1" si="280"/>
        <v>#VALUE!</v>
      </c>
      <c r="BU76" s="27">
        <f t="shared" ca="1" si="281"/>
        <v>12.885</v>
      </c>
      <c r="BV76" s="27">
        <f t="shared" ca="1" si="282"/>
        <v>10.695</v>
      </c>
      <c r="BW76" s="27">
        <f t="shared" ca="1" si="283"/>
        <v>0</v>
      </c>
      <c r="BX76" s="27">
        <f t="shared" ca="1" si="284"/>
        <v>9.8049999999999997</v>
      </c>
      <c r="BY76" s="27">
        <f t="shared" ca="1" si="285"/>
        <v>13.09</v>
      </c>
      <c r="BZ76" s="45">
        <f t="shared" ca="1" si="286"/>
        <v>12.43</v>
      </c>
      <c r="CC76" s="53" t="str">
        <f t="shared" si="287"/>
        <v>gr4</v>
      </c>
      <c r="CD76" s="54" t="str">
        <f t="shared" si="288"/>
        <v>4bios3</v>
      </c>
      <c r="CE76" s="54" t="str">
        <f t="shared" si="289"/>
        <v>tech46</v>
      </c>
      <c r="CF76" s="27">
        <f t="shared" ca="1" si="290"/>
        <v>0.5</v>
      </c>
      <c r="CG76" s="27">
        <f t="shared" ca="1" si="291"/>
        <v>0.5</v>
      </c>
      <c r="CH76" s="27" t="e">
        <f t="shared" ca="1" si="292"/>
        <v>#VALUE!</v>
      </c>
      <c r="CI76" s="27">
        <f t="shared" ca="1" si="293"/>
        <v>0.5</v>
      </c>
      <c r="CJ76" s="27">
        <f t="shared" ca="1" si="294"/>
        <v>0.5</v>
      </c>
      <c r="CK76" s="27">
        <f t="shared" ca="1" si="295"/>
        <v>5</v>
      </c>
      <c r="CL76" s="27">
        <f t="shared" ca="1" si="296"/>
        <v>0.5</v>
      </c>
      <c r="CM76" s="27">
        <f t="shared" ca="1" si="297"/>
        <v>0.5</v>
      </c>
      <c r="CN76" s="45">
        <f t="shared" ca="1" si="298"/>
        <v>0.5</v>
      </c>
    </row>
    <row r="77" spans="3:92" x14ac:dyDescent="0.25">
      <c r="C77" t="str">
        <f t="shared" si="299"/>
        <v>gr4</v>
      </c>
      <c r="D77" t="s">
        <v>114</v>
      </c>
      <c r="E77" t="s">
        <v>77</v>
      </c>
      <c r="G77" s="10">
        <f t="shared" si="300"/>
        <v>7</v>
      </c>
      <c r="H77" s="6">
        <f t="shared" si="301"/>
        <v>19</v>
      </c>
      <c r="I77" s="6">
        <f t="shared" si="302"/>
        <v>17</v>
      </c>
      <c r="J77" s="6">
        <f t="shared" si="303"/>
        <v>12.64</v>
      </c>
      <c r="K77" s="6">
        <f t="shared" si="304"/>
        <v>10.77</v>
      </c>
      <c r="L77" s="6">
        <f t="shared" si="305"/>
        <v>11.98</v>
      </c>
      <c r="M77" s="6">
        <f t="shared" si="306"/>
        <v>10.01</v>
      </c>
      <c r="N77" s="6">
        <f t="shared" si="307"/>
        <v>13.08</v>
      </c>
      <c r="O77" s="11">
        <f t="shared" si="308"/>
        <v>10.25</v>
      </c>
      <c r="Q77" s="10">
        <f t="shared" ref="Q77:Y77" ca="1" si="328">Q76</f>
        <v>-0.31000000000000005</v>
      </c>
      <c r="R77" s="6">
        <f t="shared" ca="1" si="328"/>
        <v>-0.35000000000000009</v>
      </c>
      <c r="S77" s="6">
        <f t="shared" ca="1" si="328"/>
        <v>0.14000000000000001</v>
      </c>
      <c r="T77" s="6">
        <f t="shared" ca="1" si="328"/>
        <v>-5.0000000000000044E-3</v>
      </c>
      <c r="U77" s="6">
        <f t="shared" ca="1" si="328"/>
        <v>3.5000000000000003E-2</v>
      </c>
      <c r="V77" s="6">
        <f t="shared" ca="1" si="328"/>
        <v>3.999999999999998E-2</v>
      </c>
      <c r="W77" s="6">
        <f t="shared" ca="1" si="328"/>
        <v>-2.5000000000000008E-2</v>
      </c>
      <c r="X77" s="6">
        <f t="shared" ca="1" si="328"/>
        <v>-0.21</v>
      </c>
      <c r="Y77" s="11">
        <f t="shared" ca="1" si="328"/>
        <v>1.0000000000000009E-2</v>
      </c>
      <c r="AA77" s="10">
        <f t="shared" ref="AA77:AI77" ca="1" si="329">RANDBETWEEN(0,AA114)/100-AA114/100/2</f>
        <v>8.0000000000000016E-2</v>
      </c>
      <c r="AB77" s="6">
        <f t="shared" ca="1" si="329"/>
        <v>0.24</v>
      </c>
      <c r="AC77" s="6">
        <f t="shared" ca="1" si="329"/>
        <v>0.14000000000000001</v>
      </c>
      <c r="AD77" s="6">
        <f t="shared" ca="1" si="329"/>
        <v>0.13</v>
      </c>
      <c r="AE77" s="6">
        <f t="shared" ca="1" si="329"/>
        <v>-4.0000000000000008E-2</v>
      </c>
      <c r="AF77" s="6">
        <f t="shared" ca="1" si="329"/>
        <v>0.16999999999999998</v>
      </c>
      <c r="AG77" s="6">
        <f t="shared" ca="1" si="329"/>
        <v>0.21000000000000002</v>
      </c>
      <c r="AH77" s="6">
        <f t="shared" ca="1" si="329"/>
        <v>0.2</v>
      </c>
      <c r="AI77" s="11">
        <f t="shared" ca="1" si="329"/>
        <v>-0.15</v>
      </c>
      <c r="AK77" s="10"/>
      <c r="AL77" s="6"/>
      <c r="AM77" s="6" t="s">
        <v>18</v>
      </c>
      <c r="AN77" s="6"/>
      <c r="AO77" s="6"/>
      <c r="AP77" s="6">
        <v>-18</v>
      </c>
      <c r="AQ77" s="6"/>
      <c r="AR77" s="6"/>
      <c r="AS77" s="11"/>
      <c r="AU77" s="10">
        <f t="shared" ca="1" si="267"/>
        <v>6.77</v>
      </c>
      <c r="AV77" s="6">
        <f t="shared" ca="1" si="268"/>
        <v>18.889999999999997</v>
      </c>
      <c r="AW77" s="6" t="e">
        <f t="shared" ca="1" si="269"/>
        <v>#VALUE!</v>
      </c>
      <c r="AX77" s="6">
        <f t="shared" ca="1" si="270"/>
        <v>12.765000000000001</v>
      </c>
      <c r="AY77" s="6">
        <f t="shared" ca="1" si="271"/>
        <v>10.765000000000001</v>
      </c>
      <c r="AZ77" s="6">
        <f t="shared" ca="1" si="311"/>
        <v>-5.8100000000000005</v>
      </c>
      <c r="BA77" s="6">
        <f t="shared" ca="1" si="272"/>
        <v>10.195</v>
      </c>
      <c r="BB77" s="6">
        <f t="shared" ca="1" si="273"/>
        <v>13.069999999999999</v>
      </c>
      <c r="BC77" s="11">
        <f t="shared" ca="1" si="274"/>
        <v>10.11</v>
      </c>
      <c r="BD77" s="15" t="str">
        <f t="shared" si="36"/>
        <v>gr4</v>
      </c>
      <c r="BE77" s="27">
        <f t="shared" ca="1" si="130"/>
        <v>6.77</v>
      </c>
      <c r="BF77" s="28">
        <f t="shared" ca="1" si="131"/>
        <v>18.889999999999997</v>
      </c>
      <c r="BG77" s="28" t="e">
        <f t="shared" ca="1" si="132"/>
        <v>#VALUE!</v>
      </c>
      <c r="BH77" s="28">
        <f t="shared" ca="1" si="133"/>
        <v>12.765000000000001</v>
      </c>
      <c r="BI77" s="28">
        <f t="shared" ca="1" si="134"/>
        <v>10.765000000000001</v>
      </c>
      <c r="BJ77" s="28" t="str">
        <f t="shared" ca="1" si="135"/>
        <v>low</v>
      </c>
      <c r="BK77" s="28">
        <f t="shared" ca="1" si="136"/>
        <v>10.195</v>
      </c>
      <c r="BL77" s="28">
        <f t="shared" ca="1" si="137"/>
        <v>13.069999999999999</v>
      </c>
      <c r="BM77" s="29">
        <f t="shared" ca="1" si="138"/>
        <v>10.11</v>
      </c>
      <c r="BO77" s="44" t="str">
        <f t="shared" si="275"/>
        <v>gr4</v>
      </c>
      <c r="BP77" s="40" t="str">
        <f t="shared" si="276"/>
        <v>4bios3</v>
      </c>
      <c r="BQ77" s="40" t="str">
        <f t="shared" si="277"/>
        <v>tech47</v>
      </c>
      <c r="BR77" s="27">
        <f t="shared" ca="1" si="278"/>
        <v>6.77</v>
      </c>
      <c r="BS77" s="27">
        <f t="shared" ca="1" si="279"/>
        <v>18.889999999999997</v>
      </c>
      <c r="BT77" s="27" t="e">
        <f t="shared" ca="1" si="280"/>
        <v>#VALUE!</v>
      </c>
      <c r="BU77" s="27">
        <f t="shared" ca="1" si="281"/>
        <v>12.765000000000001</v>
      </c>
      <c r="BV77" s="27">
        <f t="shared" ca="1" si="282"/>
        <v>10.765000000000001</v>
      </c>
      <c r="BW77" s="27">
        <f t="shared" ca="1" si="283"/>
        <v>0</v>
      </c>
      <c r="BX77" s="27">
        <f t="shared" ca="1" si="284"/>
        <v>10.195</v>
      </c>
      <c r="BY77" s="27">
        <f t="shared" ca="1" si="285"/>
        <v>13.069999999999999</v>
      </c>
      <c r="BZ77" s="45">
        <f t="shared" ca="1" si="286"/>
        <v>10.11</v>
      </c>
      <c r="CC77" s="53" t="str">
        <f t="shared" si="287"/>
        <v>gr4</v>
      </c>
      <c r="CD77" s="54" t="str">
        <f t="shared" si="288"/>
        <v>4bios3</v>
      </c>
      <c r="CE77" s="54" t="str">
        <f t="shared" si="289"/>
        <v>tech47</v>
      </c>
      <c r="CF77" s="27">
        <f t="shared" ca="1" si="290"/>
        <v>0.5</v>
      </c>
      <c r="CG77" s="27">
        <f t="shared" ca="1" si="291"/>
        <v>0.5</v>
      </c>
      <c r="CH77" s="27" t="e">
        <f t="shared" ca="1" si="292"/>
        <v>#VALUE!</v>
      </c>
      <c r="CI77" s="27">
        <f t="shared" ca="1" si="293"/>
        <v>0.5</v>
      </c>
      <c r="CJ77" s="27">
        <f t="shared" ca="1" si="294"/>
        <v>0.5</v>
      </c>
      <c r="CK77" s="27">
        <f t="shared" ca="1" si="295"/>
        <v>5</v>
      </c>
      <c r="CL77" s="27">
        <f t="shared" ca="1" si="296"/>
        <v>0.5</v>
      </c>
      <c r="CM77" s="27">
        <f t="shared" ca="1" si="297"/>
        <v>0.5</v>
      </c>
      <c r="CN77" s="45">
        <f t="shared" ca="1" si="298"/>
        <v>0.5</v>
      </c>
    </row>
    <row r="78" spans="3:92" x14ac:dyDescent="0.25">
      <c r="C78" t="str">
        <f t="shared" si="299"/>
        <v>gr4</v>
      </c>
      <c r="D78" t="s">
        <v>114</v>
      </c>
      <c r="E78" t="s">
        <v>78</v>
      </c>
      <c r="G78" s="12">
        <f t="shared" si="300"/>
        <v>7</v>
      </c>
      <c r="H78" s="13">
        <f t="shared" si="301"/>
        <v>19</v>
      </c>
      <c r="I78" s="13">
        <f t="shared" si="302"/>
        <v>17</v>
      </c>
      <c r="J78" s="13">
        <f t="shared" si="303"/>
        <v>12.64</v>
      </c>
      <c r="K78" s="13">
        <f t="shared" si="304"/>
        <v>10.77</v>
      </c>
      <c r="L78" s="13">
        <f t="shared" si="305"/>
        <v>11.98</v>
      </c>
      <c r="M78" s="13">
        <f t="shared" si="306"/>
        <v>10.01</v>
      </c>
      <c r="N78" s="13">
        <f t="shared" si="307"/>
        <v>13.08</v>
      </c>
      <c r="O78" s="14">
        <f t="shared" si="308"/>
        <v>10.25</v>
      </c>
      <c r="Q78" s="12">
        <f t="shared" ref="Q78:Y78" ca="1" si="330">Q77</f>
        <v>-0.31000000000000005</v>
      </c>
      <c r="R78" s="13">
        <f t="shared" ca="1" si="330"/>
        <v>-0.35000000000000009</v>
      </c>
      <c r="S78" s="13">
        <f t="shared" ca="1" si="330"/>
        <v>0.14000000000000001</v>
      </c>
      <c r="T78" s="13">
        <f t="shared" ca="1" si="330"/>
        <v>-5.0000000000000044E-3</v>
      </c>
      <c r="U78" s="13">
        <f t="shared" ca="1" si="330"/>
        <v>3.5000000000000003E-2</v>
      </c>
      <c r="V78" s="13">
        <f t="shared" ca="1" si="330"/>
        <v>3.999999999999998E-2</v>
      </c>
      <c r="W78" s="13">
        <f t="shared" ca="1" si="330"/>
        <v>-2.5000000000000008E-2</v>
      </c>
      <c r="X78" s="13">
        <f t="shared" ca="1" si="330"/>
        <v>-0.21</v>
      </c>
      <c r="Y78" s="14">
        <f t="shared" ca="1" si="330"/>
        <v>1.0000000000000009E-2</v>
      </c>
      <c r="AA78" s="12">
        <f t="shared" ref="AA78:AI78" ca="1" si="331">RANDBETWEEN(0,AA114)/100-AA114/100/2</f>
        <v>-0.22</v>
      </c>
      <c r="AB78" s="13">
        <f t="shared" ca="1" si="331"/>
        <v>0.16999999999999998</v>
      </c>
      <c r="AC78" s="13">
        <f t="shared" ca="1" si="331"/>
        <v>-0.13</v>
      </c>
      <c r="AD78" s="13">
        <f t="shared" ca="1" si="331"/>
        <v>-0.22</v>
      </c>
      <c r="AE78" s="13">
        <f t="shared" ca="1" si="331"/>
        <v>-0.18</v>
      </c>
      <c r="AF78" s="13">
        <f t="shared" ca="1" si="331"/>
        <v>0.24</v>
      </c>
      <c r="AG78" s="13">
        <f t="shared" ca="1" si="331"/>
        <v>0.21000000000000002</v>
      </c>
      <c r="AH78" s="13">
        <f t="shared" ca="1" si="331"/>
        <v>-7.9999999999999988E-2</v>
      </c>
      <c r="AI78" s="14">
        <f t="shared" ca="1" si="331"/>
        <v>-0.23</v>
      </c>
      <c r="AK78" s="12"/>
      <c r="AL78" s="13"/>
      <c r="AM78" s="13" t="s">
        <v>18</v>
      </c>
      <c r="AN78" s="13"/>
      <c r="AO78" s="13"/>
      <c r="AP78" s="13">
        <v>-18</v>
      </c>
      <c r="AQ78" s="13"/>
      <c r="AR78" s="13"/>
      <c r="AS78" s="14"/>
      <c r="AU78" s="12">
        <f t="shared" ca="1" si="267"/>
        <v>6.47</v>
      </c>
      <c r="AV78" s="13">
        <f t="shared" ca="1" si="268"/>
        <v>18.82</v>
      </c>
      <c r="AW78" s="13" t="e">
        <f t="shared" ca="1" si="269"/>
        <v>#VALUE!</v>
      </c>
      <c r="AX78" s="13">
        <f t="shared" ca="1" si="270"/>
        <v>12.414999999999999</v>
      </c>
      <c r="AY78" s="13">
        <f t="shared" ca="1" si="271"/>
        <v>10.625</v>
      </c>
      <c r="AZ78" s="13">
        <f t="shared" ca="1" si="311"/>
        <v>-5.74</v>
      </c>
      <c r="BA78" s="13">
        <f t="shared" ca="1" si="272"/>
        <v>10.195</v>
      </c>
      <c r="BB78" s="13">
        <f t="shared" ca="1" si="273"/>
        <v>12.79</v>
      </c>
      <c r="BC78" s="14">
        <f t="shared" ca="1" si="274"/>
        <v>10.029999999999999</v>
      </c>
      <c r="BD78" s="15" t="str">
        <f t="shared" si="36"/>
        <v>gr4</v>
      </c>
      <c r="BE78" s="30">
        <f t="shared" ca="1" si="130"/>
        <v>6.47</v>
      </c>
      <c r="BF78" s="31">
        <f t="shared" ca="1" si="131"/>
        <v>18.82</v>
      </c>
      <c r="BG78" s="31" t="e">
        <f t="shared" ca="1" si="132"/>
        <v>#VALUE!</v>
      </c>
      <c r="BH78" s="31">
        <f t="shared" ca="1" si="133"/>
        <v>12.414999999999999</v>
      </c>
      <c r="BI78" s="31">
        <f t="shared" ca="1" si="134"/>
        <v>10.625</v>
      </c>
      <c r="BJ78" s="31" t="str">
        <f t="shared" ca="1" si="135"/>
        <v>low</v>
      </c>
      <c r="BK78" s="31">
        <f t="shared" ca="1" si="136"/>
        <v>10.195</v>
      </c>
      <c r="BL78" s="31">
        <f t="shared" ca="1" si="137"/>
        <v>12.79</v>
      </c>
      <c r="BM78" s="32">
        <f t="shared" ca="1" si="138"/>
        <v>10.029999999999999</v>
      </c>
      <c r="BO78" s="44" t="str">
        <f t="shared" si="275"/>
        <v>gr4</v>
      </c>
      <c r="BP78" s="40" t="str">
        <f t="shared" si="276"/>
        <v>4bios3</v>
      </c>
      <c r="BQ78" s="40" t="str">
        <f t="shared" si="277"/>
        <v>tech48</v>
      </c>
      <c r="BR78" s="27">
        <f t="shared" ca="1" si="278"/>
        <v>6.47</v>
      </c>
      <c r="BS78" s="27">
        <f t="shared" ca="1" si="279"/>
        <v>18.82</v>
      </c>
      <c r="BT78" s="27" t="e">
        <f t="shared" ca="1" si="280"/>
        <v>#VALUE!</v>
      </c>
      <c r="BU78" s="27">
        <f t="shared" ca="1" si="281"/>
        <v>12.414999999999999</v>
      </c>
      <c r="BV78" s="27">
        <f t="shared" ca="1" si="282"/>
        <v>10.625</v>
      </c>
      <c r="BW78" s="27">
        <f t="shared" ca="1" si="283"/>
        <v>0</v>
      </c>
      <c r="BX78" s="27">
        <f t="shared" ca="1" si="284"/>
        <v>10.195</v>
      </c>
      <c r="BY78" s="27">
        <f t="shared" ca="1" si="285"/>
        <v>12.79</v>
      </c>
      <c r="BZ78" s="45">
        <f t="shared" ca="1" si="286"/>
        <v>10.029999999999999</v>
      </c>
      <c r="CC78" s="53" t="str">
        <f t="shared" si="287"/>
        <v>gr4</v>
      </c>
      <c r="CD78" s="54" t="str">
        <f t="shared" si="288"/>
        <v>4bios3</v>
      </c>
      <c r="CE78" s="54" t="str">
        <f t="shared" si="289"/>
        <v>tech48</v>
      </c>
      <c r="CF78" s="27">
        <f t="shared" ca="1" si="290"/>
        <v>0.5</v>
      </c>
      <c r="CG78" s="27">
        <f t="shared" ca="1" si="291"/>
        <v>0.5</v>
      </c>
      <c r="CH78" s="27" t="e">
        <f t="shared" ca="1" si="292"/>
        <v>#VALUE!</v>
      </c>
      <c r="CI78" s="27">
        <f t="shared" ca="1" si="293"/>
        <v>0.5</v>
      </c>
      <c r="CJ78" s="27">
        <f t="shared" ca="1" si="294"/>
        <v>0.5</v>
      </c>
      <c r="CK78" s="27">
        <f t="shared" ca="1" si="295"/>
        <v>5</v>
      </c>
      <c r="CL78" s="27">
        <f t="shared" ca="1" si="296"/>
        <v>0.5</v>
      </c>
      <c r="CM78" s="27">
        <f t="shared" ca="1" si="297"/>
        <v>0.5</v>
      </c>
      <c r="CN78" s="45">
        <f t="shared" ca="1" si="298"/>
        <v>0.5</v>
      </c>
    </row>
    <row r="79" spans="3:92" x14ac:dyDescent="0.25">
      <c r="BD79" s="15"/>
      <c r="BO79" s="44"/>
      <c r="BP79" s="40"/>
      <c r="BQ79" s="40"/>
      <c r="BR79" s="27"/>
      <c r="BS79" s="27"/>
      <c r="BT79" s="27"/>
      <c r="BU79" s="27"/>
      <c r="BV79" s="27"/>
      <c r="BW79" s="27"/>
      <c r="BX79" s="27"/>
      <c r="BY79" s="27"/>
      <c r="BZ79" s="45"/>
      <c r="CC79" s="53"/>
      <c r="CD79" s="54"/>
      <c r="CE79" s="54"/>
      <c r="CF79" s="27"/>
      <c r="CG79" s="27"/>
      <c r="CH79" s="27"/>
      <c r="CI79" s="27"/>
      <c r="CJ79" s="27"/>
      <c r="CK79" s="27"/>
      <c r="CL79" s="27"/>
      <c r="CM79" s="27"/>
      <c r="CN79" s="45"/>
    </row>
    <row r="80" spans="3:92" x14ac:dyDescent="0.25">
      <c r="C80" t="str">
        <f>F$11</f>
        <v>gr5</v>
      </c>
      <c r="D80" t="s">
        <v>115</v>
      </c>
      <c r="E80" t="s">
        <v>79</v>
      </c>
      <c r="G80" s="7">
        <f>G20</f>
        <v>6</v>
      </c>
      <c r="H80" s="8">
        <f t="shared" ref="H80:O80" si="332">H20</f>
        <v>11</v>
      </c>
      <c r="I80" s="8">
        <f t="shared" si="332"/>
        <v>10.5</v>
      </c>
      <c r="J80" s="8">
        <f t="shared" si="332"/>
        <v>6.9499999999999993</v>
      </c>
      <c r="K80" s="8">
        <f t="shared" si="332"/>
        <v>4.26</v>
      </c>
      <c r="L80" s="8">
        <f t="shared" si="332"/>
        <v>5.51</v>
      </c>
      <c r="M80" s="8">
        <f t="shared" si="332"/>
        <v>11.08</v>
      </c>
      <c r="N80" s="8">
        <f t="shared" si="332"/>
        <v>5.3</v>
      </c>
      <c r="O80" s="9">
        <f t="shared" si="332"/>
        <v>14.120000000000001</v>
      </c>
      <c r="Q80" s="7">
        <f t="shared" ref="Q80:Y80" ca="1" si="333">RANDBETWEEN(0,Q115)/100-Q115/100/2</f>
        <v>7.0000000000000062E-2</v>
      </c>
      <c r="R80" s="8">
        <f t="shared" ca="1" si="333"/>
        <v>-1.49</v>
      </c>
      <c r="S80" s="8">
        <f t="shared" ca="1" si="333"/>
        <v>-4.9999999999999989E-2</v>
      </c>
      <c r="T80" s="8">
        <f t="shared" ca="1" si="333"/>
        <v>2.0000000000000018E-2</v>
      </c>
      <c r="U80" s="8">
        <f t="shared" ca="1" si="333"/>
        <v>-0.03</v>
      </c>
      <c r="V80" s="8">
        <f t="shared" ca="1" si="333"/>
        <v>-0.03</v>
      </c>
      <c r="W80" s="8">
        <f t="shared" ca="1" si="333"/>
        <v>-3.5000000000000003E-2</v>
      </c>
      <c r="X80" s="8">
        <f t="shared" ca="1" si="333"/>
        <v>0.3</v>
      </c>
      <c r="Y80" s="9">
        <f t="shared" ca="1" si="333"/>
        <v>-0.03</v>
      </c>
      <c r="Z80" s="10"/>
      <c r="AA80" s="7">
        <f t="shared" ref="AA80:AI80" ca="1" si="334">RANDBETWEEN(0,AA115)/100-AA115/100/2</f>
        <v>1.0000000000000009E-2</v>
      </c>
      <c r="AB80" s="8">
        <f t="shared" ca="1" si="334"/>
        <v>-4.9999999999999989E-2</v>
      </c>
      <c r="AC80" s="8">
        <f t="shared" ca="1" si="334"/>
        <v>-0.10999999999999999</v>
      </c>
      <c r="AD80" s="8">
        <f t="shared" ca="1" si="334"/>
        <v>0.13</v>
      </c>
      <c r="AE80" s="8">
        <f t="shared" ca="1" si="334"/>
        <v>-0.15</v>
      </c>
      <c r="AF80" s="8">
        <f t="shared" ca="1" si="334"/>
        <v>1.0000000000000009E-2</v>
      </c>
      <c r="AG80" s="8">
        <f t="shared" ca="1" si="334"/>
        <v>0.24</v>
      </c>
      <c r="AH80" s="8">
        <f t="shared" ca="1" si="334"/>
        <v>-0.24</v>
      </c>
      <c r="AI80" s="9">
        <f t="shared" ca="1" si="334"/>
        <v>-0.03</v>
      </c>
      <c r="AK80" s="7"/>
      <c r="AL80" s="8"/>
      <c r="AM80" s="8" t="s">
        <v>18</v>
      </c>
      <c r="AN80" s="8"/>
      <c r="AO80" s="8"/>
      <c r="AP80" s="8"/>
      <c r="AQ80" s="8"/>
      <c r="AR80" s="8"/>
      <c r="AS80" s="9"/>
      <c r="AU80" s="7">
        <f t="shared" ref="AU80:AU91" ca="1" si="335">IF(AK80=$AK$25,G80+Q80+AA80+AK80,IFERROR(G80+Q80+AA80+AK80,AK80))</f>
        <v>6.08</v>
      </c>
      <c r="AV80" s="8">
        <f t="shared" ref="AV80:AV91" ca="1" si="336">IF(AL80=$AK$25,H80+R80+AB80+AL80,IFERROR(H80+R80+AB80+AL80,AL80))</f>
        <v>9.4599999999999991</v>
      </c>
      <c r="AW80" s="8" t="e">
        <f t="shared" ref="AW80:AW91" ca="1" si="337">IF(AM80=$AK$25,I80+S80+AC80+AM80,IFERROR(I80+S80+AC80+AM80,AM80))</f>
        <v>#VALUE!</v>
      </c>
      <c r="AX80" s="8">
        <f t="shared" ref="AX80:AX91" ca="1" si="338">IF(AN80=$AK$25,J80+T80+AD80+AN80,IFERROR(J80+T80+AD80+AN80,AN80))</f>
        <v>7.0999999999999988</v>
      </c>
      <c r="AY80" s="8">
        <f t="shared" ref="AY80:AY91" ca="1" si="339">IF(AO80=$AK$25,K80+U80+AE80+AO80,IFERROR(K80+U80+AE80+AO80,AO80))</f>
        <v>4.0799999999999992</v>
      </c>
      <c r="AZ80" s="8">
        <f ca="1">IF(AP80=$AK$25,L80+V80+AF80+AP80,IFERROR(L80+V80+AF80+AP80,AP80))</f>
        <v>5.4899999999999993</v>
      </c>
      <c r="BA80" s="8">
        <f t="shared" ref="BA80:BA91" ca="1" si="340">IF(AQ80=$AK$25,M80+W80+AG80+AQ80,IFERROR(M80+W80+AG80+AQ80,AQ80))</f>
        <v>11.285</v>
      </c>
      <c r="BB80" s="8">
        <f t="shared" ref="BB80:BB91" ca="1" si="341">IF(AR80=$AK$25,N80+X80+AH80+AR80,IFERROR(N80+X80+AH80+AR80,AR80))</f>
        <v>5.3599999999999994</v>
      </c>
      <c r="BC80" s="9">
        <f t="shared" ref="BC80:BC91" ca="1" si="342">IF(AS80=$AK$25,O80+Y80+AI80+AS80,IFERROR(O80+Y80+AI80+AS80,AS80))</f>
        <v>14.060000000000002</v>
      </c>
      <c r="BD80" s="15" t="str">
        <f t="shared" si="36"/>
        <v>gr5</v>
      </c>
      <c r="BE80" s="24">
        <f t="shared" ca="1" si="130"/>
        <v>6.08</v>
      </c>
      <c r="BF80" s="25">
        <f t="shared" ca="1" si="131"/>
        <v>9.4599999999999991</v>
      </c>
      <c r="BG80" s="25" t="e">
        <f t="shared" ca="1" si="132"/>
        <v>#VALUE!</v>
      </c>
      <c r="BH80" s="25">
        <f t="shared" ca="1" si="133"/>
        <v>7.0999999999999988</v>
      </c>
      <c r="BI80" s="25" t="str">
        <f t="shared" ca="1" si="134"/>
        <v>low</v>
      </c>
      <c r="BJ80" s="25">
        <f t="shared" ca="1" si="135"/>
        <v>5.4899999999999993</v>
      </c>
      <c r="BK80" s="25">
        <f t="shared" ca="1" si="136"/>
        <v>11.285</v>
      </c>
      <c r="BL80" s="25">
        <f t="shared" ca="1" si="137"/>
        <v>5.3599999999999994</v>
      </c>
      <c r="BM80" s="26">
        <f t="shared" ca="1" si="138"/>
        <v>14.060000000000002</v>
      </c>
      <c r="BO80" s="44" t="str">
        <f t="shared" ref="BO80:BO91" si="343">C80</f>
        <v>gr5</v>
      </c>
      <c r="BP80" s="40" t="str">
        <f t="shared" ref="BP80:BP91" si="344">D80</f>
        <v>5bios1</v>
      </c>
      <c r="BQ80" s="40" t="str">
        <f t="shared" ref="BQ80:BQ91" si="345">E80</f>
        <v>tech49</v>
      </c>
      <c r="BR80" s="27">
        <f t="shared" ref="BR80:BR91" ca="1" si="346">IF(BE80="low",$BR$26,IF(BE80="high",$BS$26,BE80))</f>
        <v>6.08</v>
      </c>
      <c r="BS80" s="27">
        <f t="shared" ref="BS80:BS91" ca="1" si="347">IF(BF80="low",$BR$26,IF(BF80="high",$BS$26,BF80))</f>
        <v>9.4599999999999991</v>
      </c>
      <c r="BT80" s="27" t="e">
        <f t="shared" ref="BT80:BT91" ca="1" si="348">IF(BG80="low",$BR$26,IF(BG80="high",$BS$26,BG80))</f>
        <v>#VALUE!</v>
      </c>
      <c r="BU80" s="27">
        <f t="shared" ref="BU80:BU91" ca="1" si="349">IF(BH80="low",$BR$26,IF(BH80="high",$BS$26,BH80))</f>
        <v>7.0999999999999988</v>
      </c>
      <c r="BV80" s="27">
        <f t="shared" ref="BV80:BV91" ca="1" si="350">IF(BI80="low",$BR$26,IF(BI80="high",$BS$26,BI80))</f>
        <v>0</v>
      </c>
      <c r="BW80" s="27">
        <f t="shared" ref="BW80:BW91" ca="1" si="351">IF(BJ80="low",$BR$26,IF(BJ80="high",$BS$26,BJ80))</f>
        <v>5.4899999999999993</v>
      </c>
      <c r="BX80" s="27">
        <f t="shared" ref="BX80:BX91" ca="1" si="352">IF(BK80="low",$BR$26,IF(BK80="high",$BS$26,BK80))</f>
        <v>11.285</v>
      </c>
      <c r="BY80" s="27">
        <f t="shared" ref="BY80:BY91" ca="1" si="353">IF(BL80="low",$BR$26,IF(BL80="high",$BS$26,BL80))</f>
        <v>5.3599999999999994</v>
      </c>
      <c r="BZ80" s="45">
        <f t="shared" ref="BZ80:BZ91" ca="1" si="354">IF(BM80="low",$BR$26,IF(BM80="high",$BS$26,BM80))</f>
        <v>14.060000000000002</v>
      </c>
      <c r="CC80" s="53" t="str">
        <f t="shared" ref="CC80:CC91" si="355">BO80</f>
        <v>gr5</v>
      </c>
      <c r="CD80" s="54" t="str">
        <f t="shared" ref="CD80:CD91" si="356">BP80</f>
        <v>5bios1</v>
      </c>
      <c r="CE80" s="54" t="str">
        <f t="shared" ref="CE80:CE91" si="357">BQ80</f>
        <v>tech49</v>
      </c>
      <c r="CF80" s="27">
        <f t="shared" ref="CF80:CF91" ca="1" si="358">IF(BE80="low",$BT$26,IF(BE80="high",$BT$26,$BU$26))</f>
        <v>0.5</v>
      </c>
      <c r="CG80" s="27">
        <f t="shared" ref="CG80:CG91" ca="1" si="359">IF(BF80="low",$BT$26,IF(BF80="high",$BT$26,$BU$26))</f>
        <v>0.5</v>
      </c>
      <c r="CH80" s="27" t="e">
        <f t="shared" ref="CH80:CH91" ca="1" si="360">IF(BG80="low",$BT$26,IF(BG80="high",$BT$26,$BU$26))</f>
        <v>#VALUE!</v>
      </c>
      <c r="CI80" s="27">
        <f t="shared" ref="CI80:CI91" ca="1" si="361">IF(BH80="low",$BT$26,IF(BH80="high",$BT$26,$BU$26))</f>
        <v>0.5</v>
      </c>
      <c r="CJ80" s="27">
        <f t="shared" ref="CJ80:CJ91" ca="1" si="362">IF(BI80="low",$BT$26,IF(BI80="high",$BT$26,$BU$26))</f>
        <v>5</v>
      </c>
      <c r="CK80" s="27">
        <f t="shared" ref="CK80:CK91" ca="1" si="363">IF(BJ80="low",$BT$26,IF(BJ80="high",$BT$26,$BU$26))</f>
        <v>0.5</v>
      </c>
      <c r="CL80" s="27">
        <f t="shared" ref="CL80:CL91" ca="1" si="364">IF(BK80="low",$BT$26,IF(BK80="high",$BT$26,$BU$26))</f>
        <v>0.5</v>
      </c>
      <c r="CM80" s="27">
        <f t="shared" ref="CM80:CM91" ca="1" si="365">IF(BL80="low",$BT$26,IF(BL80="high",$BT$26,$BU$26))</f>
        <v>0.5</v>
      </c>
      <c r="CN80" s="45">
        <f t="shared" ref="CN80:CN91" ca="1" si="366">IF(BM80="low",$BT$26,IF(BM80="high",$BT$26,$BU$26))</f>
        <v>0.5</v>
      </c>
    </row>
    <row r="81" spans="3:92" x14ac:dyDescent="0.25">
      <c r="C81" t="str">
        <f t="shared" ref="C81:C91" si="367">F$11</f>
        <v>gr5</v>
      </c>
      <c r="D81" t="s">
        <v>115</v>
      </c>
      <c r="E81" t="s">
        <v>80</v>
      </c>
      <c r="G81" s="10">
        <f t="shared" ref="G81:G91" si="368">G80</f>
        <v>6</v>
      </c>
      <c r="H81" s="6">
        <f t="shared" ref="H81:H91" si="369">H80</f>
        <v>11</v>
      </c>
      <c r="I81" s="6">
        <f t="shared" ref="I81:I91" si="370">I80</f>
        <v>10.5</v>
      </c>
      <c r="J81" s="6">
        <f t="shared" ref="J81:J91" si="371">J80</f>
        <v>6.9499999999999993</v>
      </c>
      <c r="K81" s="6">
        <f t="shared" ref="K81:K91" si="372">K80</f>
        <v>4.26</v>
      </c>
      <c r="L81" s="6">
        <f t="shared" ref="L81:L91" si="373">L80</f>
        <v>5.51</v>
      </c>
      <c r="M81" s="6">
        <f t="shared" ref="M81:M91" si="374">M80</f>
        <v>11.08</v>
      </c>
      <c r="N81" s="6">
        <f t="shared" ref="N81:N91" si="375">N80</f>
        <v>5.3</v>
      </c>
      <c r="O81" s="11">
        <f t="shared" ref="O81:O91" si="376">O80</f>
        <v>14.120000000000001</v>
      </c>
      <c r="Q81" s="10">
        <f t="shared" ref="Q81:Y81" ca="1" si="377">Q80</f>
        <v>7.0000000000000062E-2</v>
      </c>
      <c r="R81" s="6">
        <f t="shared" ca="1" si="377"/>
        <v>-1.49</v>
      </c>
      <c r="S81" s="6">
        <f t="shared" ca="1" si="377"/>
        <v>-4.9999999999999989E-2</v>
      </c>
      <c r="T81" s="6">
        <f t="shared" ca="1" si="377"/>
        <v>2.0000000000000018E-2</v>
      </c>
      <c r="U81" s="6">
        <f t="shared" ca="1" si="377"/>
        <v>-0.03</v>
      </c>
      <c r="V81" s="6">
        <f t="shared" ca="1" si="377"/>
        <v>-0.03</v>
      </c>
      <c r="W81" s="6">
        <f t="shared" ca="1" si="377"/>
        <v>-3.5000000000000003E-2</v>
      </c>
      <c r="X81" s="6">
        <f t="shared" ca="1" si="377"/>
        <v>0.3</v>
      </c>
      <c r="Y81" s="11">
        <f t="shared" ca="1" si="377"/>
        <v>-0.03</v>
      </c>
      <c r="AA81" s="10">
        <f t="shared" ref="AA81:AI81" ca="1" si="378">RANDBETWEEN(0,AA115)/100-AA115/100/2</f>
        <v>-0.10999999999999999</v>
      </c>
      <c r="AB81" s="6">
        <f t="shared" ca="1" si="378"/>
        <v>2.0000000000000018E-2</v>
      </c>
      <c r="AC81" s="6">
        <f t="shared" ca="1" si="378"/>
        <v>-0.10999999999999999</v>
      </c>
      <c r="AD81" s="6">
        <f t="shared" ca="1" si="378"/>
        <v>-0.12</v>
      </c>
      <c r="AE81" s="6">
        <f t="shared" ca="1" si="378"/>
        <v>-0.06</v>
      </c>
      <c r="AF81" s="6">
        <f t="shared" ca="1" si="378"/>
        <v>-4.9999999999999989E-2</v>
      </c>
      <c r="AG81" s="6">
        <f t="shared" ca="1" si="378"/>
        <v>0.14000000000000001</v>
      </c>
      <c r="AH81" s="6">
        <f t="shared" ca="1" si="378"/>
        <v>-0.25</v>
      </c>
      <c r="AI81" s="11">
        <f t="shared" ca="1" si="378"/>
        <v>-7.0000000000000007E-2</v>
      </c>
      <c r="AK81" s="10" t="s">
        <v>18</v>
      </c>
      <c r="AL81" s="6" t="s">
        <v>18</v>
      </c>
      <c r="AM81" s="6" t="s">
        <v>18</v>
      </c>
      <c r="AN81" s="6" t="s">
        <v>18</v>
      </c>
      <c r="AO81" s="6" t="s">
        <v>18</v>
      </c>
      <c r="AP81" s="6" t="s">
        <v>18</v>
      </c>
      <c r="AQ81" s="6" t="s">
        <v>18</v>
      </c>
      <c r="AR81" s="6" t="s">
        <v>18</v>
      </c>
      <c r="AS81" s="11" t="s">
        <v>18</v>
      </c>
      <c r="AU81" s="10" t="e">
        <f t="shared" ca="1" si="335"/>
        <v>#VALUE!</v>
      </c>
      <c r="AV81" s="6" t="e">
        <f t="shared" ca="1" si="336"/>
        <v>#VALUE!</v>
      </c>
      <c r="AW81" s="6" t="e">
        <f t="shared" ca="1" si="337"/>
        <v>#VALUE!</v>
      </c>
      <c r="AX81" s="6" t="e">
        <f t="shared" ca="1" si="338"/>
        <v>#VALUE!</v>
      </c>
      <c r="AY81" s="6" t="e">
        <f t="shared" ca="1" si="339"/>
        <v>#VALUE!</v>
      </c>
      <c r="AZ81" s="6" t="e">
        <f t="shared" ref="AZ81:AZ91" ca="1" si="379">IF(AP81=$AK$25,L81+V81+AF81+AP81,IFERROR(L81+V81+AF81+AP81,AP81))</f>
        <v>#VALUE!</v>
      </c>
      <c r="BA81" s="6" t="e">
        <f t="shared" ca="1" si="340"/>
        <v>#VALUE!</v>
      </c>
      <c r="BB81" s="6" t="e">
        <f t="shared" ca="1" si="341"/>
        <v>#VALUE!</v>
      </c>
      <c r="BC81" s="11" t="e">
        <f t="shared" ca="1" si="342"/>
        <v>#VALUE!</v>
      </c>
      <c r="BD81" s="15" t="str">
        <f t="shared" si="36"/>
        <v>gr5</v>
      </c>
      <c r="BE81" s="27" t="e">
        <f t="shared" ca="1" si="130"/>
        <v>#VALUE!</v>
      </c>
      <c r="BF81" s="28" t="e">
        <f t="shared" ca="1" si="131"/>
        <v>#VALUE!</v>
      </c>
      <c r="BG81" s="28" t="e">
        <f t="shared" ca="1" si="132"/>
        <v>#VALUE!</v>
      </c>
      <c r="BH81" s="28" t="e">
        <f t="shared" ca="1" si="133"/>
        <v>#VALUE!</v>
      </c>
      <c r="BI81" s="28" t="e">
        <f t="shared" ca="1" si="134"/>
        <v>#VALUE!</v>
      </c>
      <c r="BJ81" s="28" t="e">
        <f t="shared" ca="1" si="135"/>
        <v>#VALUE!</v>
      </c>
      <c r="BK81" s="28" t="e">
        <f t="shared" ca="1" si="136"/>
        <v>#VALUE!</v>
      </c>
      <c r="BL81" s="28" t="e">
        <f t="shared" ca="1" si="137"/>
        <v>#VALUE!</v>
      </c>
      <c r="BM81" s="29" t="e">
        <f t="shared" ca="1" si="138"/>
        <v>#VALUE!</v>
      </c>
      <c r="BO81" s="44" t="str">
        <f t="shared" si="343"/>
        <v>gr5</v>
      </c>
      <c r="BP81" s="40" t="str">
        <f t="shared" si="344"/>
        <v>5bios1</v>
      </c>
      <c r="BQ81" s="40" t="str">
        <f t="shared" si="345"/>
        <v>tech50</v>
      </c>
      <c r="BR81" s="27" t="e">
        <f t="shared" ca="1" si="346"/>
        <v>#VALUE!</v>
      </c>
      <c r="BS81" s="27" t="e">
        <f t="shared" ca="1" si="347"/>
        <v>#VALUE!</v>
      </c>
      <c r="BT81" s="27" t="e">
        <f t="shared" ca="1" si="348"/>
        <v>#VALUE!</v>
      </c>
      <c r="BU81" s="27" t="e">
        <f t="shared" ca="1" si="349"/>
        <v>#VALUE!</v>
      </c>
      <c r="BV81" s="27" t="e">
        <f t="shared" ca="1" si="350"/>
        <v>#VALUE!</v>
      </c>
      <c r="BW81" s="27" t="e">
        <f t="shared" ca="1" si="351"/>
        <v>#VALUE!</v>
      </c>
      <c r="BX81" s="27" t="e">
        <f t="shared" ca="1" si="352"/>
        <v>#VALUE!</v>
      </c>
      <c r="BY81" s="27" t="e">
        <f t="shared" ca="1" si="353"/>
        <v>#VALUE!</v>
      </c>
      <c r="BZ81" s="45" t="e">
        <f t="shared" ca="1" si="354"/>
        <v>#VALUE!</v>
      </c>
      <c r="CC81" s="53" t="str">
        <f t="shared" si="355"/>
        <v>gr5</v>
      </c>
      <c r="CD81" s="54" t="str">
        <f t="shared" si="356"/>
        <v>5bios1</v>
      </c>
      <c r="CE81" s="54" t="str">
        <f t="shared" si="357"/>
        <v>tech50</v>
      </c>
      <c r="CF81" s="27" t="e">
        <f t="shared" ca="1" si="358"/>
        <v>#VALUE!</v>
      </c>
      <c r="CG81" s="27" t="e">
        <f t="shared" ca="1" si="359"/>
        <v>#VALUE!</v>
      </c>
      <c r="CH81" s="27" t="e">
        <f t="shared" ca="1" si="360"/>
        <v>#VALUE!</v>
      </c>
      <c r="CI81" s="27" t="e">
        <f t="shared" ca="1" si="361"/>
        <v>#VALUE!</v>
      </c>
      <c r="CJ81" s="27" t="e">
        <f t="shared" ca="1" si="362"/>
        <v>#VALUE!</v>
      </c>
      <c r="CK81" s="27" t="e">
        <f t="shared" ca="1" si="363"/>
        <v>#VALUE!</v>
      </c>
      <c r="CL81" s="27" t="e">
        <f t="shared" ca="1" si="364"/>
        <v>#VALUE!</v>
      </c>
      <c r="CM81" s="27" t="e">
        <f t="shared" ca="1" si="365"/>
        <v>#VALUE!</v>
      </c>
      <c r="CN81" s="45" t="e">
        <f t="shared" ca="1" si="366"/>
        <v>#VALUE!</v>
      </c>
    </row>
    <row r="82" spans="3:92" x14ac:dyDescent="0.25">
      <c r="C82" t="str">
        <f t="shared" si="367"/>
        <v>gr5</v>
      </c>
      <c r="D82" t="s">
        <v>115</v>
      </c>
      <c r="E82" t="s">
        <v>81</v>
      </c>
      <c r="G82" s="10">
        <f t="shared" si="368"/>
        <v>6</v>
      </c>
      <c r="H82" s="6">
        <f t="shared" si="369"/>
        <v>11</v>
      </c>
      <c r="I82" s="6">
        <f t="shared" si="370"/>
        <v>10.5</v>
      </c>
      <c r="J82" s="6">
        <f t="shared" si="371"/>
        <v>6.9499999999999993</v>
      </c>
      <c r="K82" s="6">
        <f t="shared" si="372"/>
        <v>4.26</v>
      </c>
      <c r="L82" s="6">
        <f t="shared" si="373"/>
        <v>5.51</v>
      </c>
      <c r="M82" s="6">
        <f t="shared" si="374"/>
        <v>11.08</v>
      </c>
      <c r="N82" s="6">
        <f t="shared" si="375"/>
        <v>5.3</v>
      </c>
      <c r="O82" s="11">
        <f t="shared" si="376"/>
        <v>14.120000000000001</v>
      </c>
      <c r="Q82" s="10">
        <f t="shared" ref="Q82:Y82" ca="1" si="380">Q81</f>
        <v>7.0000000000000062E-2</v>
      </c>
      <c r="R82" s="6">
        <f t="shared" ca="1" si="380"/>
        <v>-1.49</v>
      </c>
      <c r="S82" s="6">
        <f t="shared" ca="1" si="380"/>
        <v>-4.9999999999999989E-2</v>
      </c>
      <c r="T82" s="6">
        <f t="shared" ca="1" si="380"/>
        <v>2.0000000000000018E-2</v>
      </c>
      <c r="U82" s="6">
        <f t="shared" ca="1" si="380"/>
        <v>-0.03</v>
      </c>
      <c r="V82" s="6">
        <f t="shared" ca="1" si="380"/>
        <v>-0.03</v>
      </c>
      <c r="W82" s="6">
        <f t="shared" ca="1" si="380"/>
        <v>-3.5000000000000003E-2</v>
      </c>
      <c r="X82" s="6">
        <f t="shared" ca="1" si="380"/>
        <v>0.3</v>
      </c>
      <c r="Y82" s="11">
        <f t="shared" ca="1" si="380"/>
        <v>-0.03</v>
      </c>
      <c r="AA82" s="10">
        <f t="shared" ref="AA82:AI82" ca="1" si="381">RANDBETWEEN(0,AA115)/100-AA115/100/2</f>
        <v>0.14000000000000001</v>
      </c>
      <c r="AB82" s="6">
        <f t="shared" ca="1" si="381"/>
        <v>0.10999999999999999</v>
      </c>
      <c r="AC82" s="6">
        <f t="shared" ca="1" si="381"/>
        <v>-0.09</v>
      </c>
      <c r="AD82" s="6">
        <f t="shared" ca="1" si="381"/>
        <v>0.21999999999999997</v>
      </c>
      <c r="AE82" s="6">
        <f t="shared" ca="1" si="381"/>
        <v>-0.16999999999999998</v>
      </c>
      <c r="AF82" s="6">
        <f t="shared" ca="1" si="381"/>
        <v>-0.18</v>
      </c>
      <c r="AG82" s="6">
        <f t="shared" ca="1" si="381"/>
        <v>-4.9999999999999989E-2</v>
      </c>
      <c r="AH82" s="6">
        <f t="shared" ca="1" si="381"/>
        <v>-0.09</v>
      </c>
      <c r="AI82" s="11">
        <f t="shared" ca="1" si="381"/>
        <v>0.21999999999999997</v>
      </c>
      <c r="AK82" s="10" t="s">
        <v>18</v>
      </c>
      <c r="AL82" s="6" t="s">
        <v>18</v>
      </c>
      <c r="AM82" s="6" t="s">
        <v>18</v>
      </c>
      <c r="AN82" s="6" t="s">
        <v>18</v>
      </c>
      <c r="AO82" s="6" t="s">
        <v>18</v>
      </c>
      <c r="AP82" s="6" t="s">
        <v>18</v>
      </c>
      <c r="AQ82" s="6" t="s">
        <v>18</v>
      </c>
      <c r="AR82" s="6" t="s">
        <v>18</v>
      </c>
      <c r="AS82" s="11" t="s">
        <v>18</v>
      </c>
      <c r="AU82" s="10" t="e">
        <f t="shared" ca="1" si="335"/>
        <v>#VALUE!</v>
      </c>
      <c r="AV82" s="6" t="e">
        <f t="shared" ca="1" si="336"/>
        <v>#VALUE!</v>
      </c>
      <c r="AW82" s="6" t="e">
        <f t="shared" ca="1" si="337"/>
        <v>#VALUE!</v>
      </c>
      <c r="AX82" s="6" t="e">
        <f t="shared" ca="1" si="338"/>
        <v>#VALUE!</v>
      </c>
      <c r="AY82" s="6" t="e">
        <f t="shared" ca="1" si="339"/>
        <v>#VALUE!</v>
      </c>
      <c r="AZ82" s="6" t="e">
        <f t="shared" ca="1" si="379"/>
        <v>#VALUE!</v>
      </c>
      <c r="BA82" s="6" t="e">
        <f t="shared" ca="1" si="340"/>
        <v>#VALUE!</v>
      </c>
      <c r="BB82" s="6" t="e">
        <f t="shared" ca="1" si="341"/>
        <v>#VALUE!</v>
      </c>
      <c r="BC82" s="11" t="e">
        <f t="shared" ca="1" si="342"/>
        <v>#VALUE!</v>
      </c>
      <c r="BD82" s="15" t="str">
        <f t="shared" si="36"/>
        <v>gr5</v>
      </c>
      <c r="BE82" s="27" t="e">
        <f t="shared" ca="1" si="130"/>
        <v>#VALUE!</v>
      </c>
      <c r="BF82" s="28" t="e">
        <f t="shared" ca="1" si="131"/>
        <v>#VALUE!</v>
      </c>
      <c r="BG82" s="28" t="e">
        <f t="shared" ca="1" si="132"/>
        <v>#VALUE!</v>
      </c>
      <c r="BH82" s="28" t="e">
        <f t="shared" ca="1" si="133"/>
        <v>#VALUE!</v>
      </c>
      <c r="BI82" s="28" t="e">
        <f t="shared" ca="1" si="134"/>
        <v>#VALUE!</v>
      </c>
      <c r="BJ82" s="28" t="e">
        <f t="shared" ca="1" si="135"/>
        <v>#VALUE!</v>
      </c>
      <c r="BK82" s="28" t="e">
        <f t="shared" ca="1" si="136"/>
        <v>#VALUE!</v>
      </c>
      <c r="BL82" s="28" t="e">
        <f t="shared" ca="1" si="137"/>
        <v>#VALUE!</v>
      </c>
      <c r="BM82" s="29" t="e">
        <f t="shared" ca="1" si="138"/>
        <v>#VALUE!</v>
      </c>
      <c r="BO82" s="44" t="str">
        <f t="shared" si="343"/>
        <v>gr5</v>
      </c>
      <c r="BP82" s="40" t="str">
        <f t="shared" si="344"/>
        <v>5bios1</v>
      </c>
      <c r="BQ82" s="40" t="str">
        <f t="shared" si="345"/>
        <v>tech51</v>
      </c>
      <c r="BR82" s="27" t="e">
        <f t="shared" ca="1" si="346"/>
        <v>#VALUE!</v>
      </c>
      <c r="BS82" s="27" t="e">
        <f t="shared" ca="1" si="347"/>
        <v>#VALUE!</v>
      </c>
      <c r="BT82" s="27" t="e">
        <f t="shared" ca="1" si="348"/>
        <v>#VALUE!</v>
      </c>
      <c r="BU82" s="27" t="e">
        <f t="shared" ca="1" si="349"/>
        <v>#VALUE!</v>
      </c>
      <c r="BV82" s="27" t="e">
        <f t="shared" ca="1" si="350"/>
        <v>#VALUE!</v>
      </c>
      <c r="BW82" s="27" t="e">
        <f t="shared" ca="1" si="351"/>
        <v>#VALUE!</v>
      </c>
      <c r="BX82" s="27" t="e">
        <f t="shared" ca="1" si="352"/>
        <v>#VALUE!</v>
      </c>
      <c r="BY82" s="27" t="e">
        <f t="shared" ca="1" si="353"/>
        <v>#VALUE!</v>
      </c>
      <c r="BZ82" s="45" t="e">
        <f t="shared" ca="1" si="354"/>
        <v>#VALUE!</v>
      </c>
      <c r="CC82" s="53" t="str">
        <f t="shared" si="355"/>
        <v>gr5</v>
      </c>
      <c r="CD82" s="54" t="str">
        <f t="shared" si="356"/>
        <v>5bios1</v>
      </c>
      <c r="CE82" s="54" t="str">
        <f t="shared" si="357"/>
        <v>tech51</v>
      </c>
      <c r="CF82" s="27" t="e">
        <f t="shared" ca="1" si="358"/>
        <v>#VALUE!</v>
      </c>
      <c r="CG82" s="27" t="e">
        <f t="shared" ca="1" si="359"/>
        <v>#VALUE!</v>
      </c>
      <c r="CH82" s="27" t="e">
        <f t="shared" ca="1" si="360"/>
        <v>#VALUE!</v>
      </c>
      <c r="CI82" s="27" t="e">
        <f t="shared" ca="1" si="361"/>
        <v>#VALUE!</v>
      </c>
      <c r="CJ82" s="27" t="e">
        <f t="shared" ca="1" si="362"/>
        <v>#VALUE!</v>
      </c>
      <c r="CK82" s="27" t="e">
        <f t="shared" ca="1" si="363"/>
        <v>#VALUE!</v>
      </c>
      <c r="CL82" s="27" t="e">
        <f t="shared" ca="1" si="364"/>
        <v>#VALUE!</v>
      </c>
      <c r="CM82" s="27" t="e">
        <f t="shared" ca="1" si="365"/>
        <v>#VALUE!</v>
      </c>
      <c r="CN82" s="45" t="e">
        <f t="shared" ca="1" si="366"/>
        <v>#VALUE!</v>
      </c>
    </row>
    <row r="83" spans="3:92" x14ac:dyDescent="0.25">
      <c r="C83" t="str">
        <f t="shared" si="367"/>
        <v>gr5</v>
      </c>
      <c r="D83" t="s">
        <v>115</v>
      </c>
      <c r="E83" t="s">
        <v>82</v>
      </c>
      <c r="G83" s="12">
        <f t="shared" si="368"/>
        <v>6</v>
      </c>
      <c r="H83" s="13">
        <f t="shared" si="369"/>
        <v>11</v>
      </c>
      <c r="I83" s="13">
        <f t="shared" si="370"/>
        <v>10.5</v>
      </c>
      <c r="J83" s="13">
        <f t="shared" si="371"/>
        <v>6.9499999999999993</v>
      </c>
      <c r="K83" s="13">
        <f t="shared" si="372"/>
        <v>4.26</v>
      </c>
      <c r="L83" s="13">
        <f t="shared" si="373"/>
        <v>5.51</v>
      </c>
      <c r="M83" s="13">
        <f t="shared" si="374"/>
        <v>11.08</v>
      </c>
      <c r="N83" s="13">
        <f t="shared" si="375"/>
        <v>5.3</v>
      </c>
      <c r="O83" s="14">
        <f t="shared" si="376"/>
        <v>14.120000000000001</v>
      </c>
      <c r="Q83" s="12">
        <f t="shared" ref="Q83:Y83" ca="1" si="382">Q82</f>
        <v>7.0000000000000062E-2</v>
      </c>
      <c r="R83" s="13">
        <f t="shared" ca="1" si="382"/>
        <v>-1.49</v>
      </c>
      <c r="S83" s="13">
        <f t="shared" ca="1" si="382"/>
        <v>-4.9999999999999989E-2</v>
      </c>
      <c r="T83" s="13">
        <f t="shared" ca="1" si="382"/>
        <v>2.0000000000000018E-2</v>
      </c>
      <c r="U83" s="13">
        <f t="shared" ca="1" si="382"/>
        <v>-0.03</v>
      </c>
      <c r="V83" s="13">
        <f t="shared" ca="1" si="382"/>
        <v>-0.03</v>
      </c>
      <c r="W83" s="13">
        <f t="shared" ca="1" si="382"/>
        <v>-3.5000000000000003E-2</v>
      </c>
      <c r="X83" s="13">
        <f t="shared" ca="1" si="382"/>
        <v>0.3</v>
      </c>
      <c r="Y83" s="14">
        <f t="shared" ca="1" si="382"/>
        <v>-0.03</v>
      </c>
      <c r="AA83" s="12">
        <f t="shared" ref="AA83:AI83" ca="1" si="383">RANDBETWEEN(0,AA115)/100-AA115/100/2</f>
        <v>9.9999999999999978E-2</v>
      </c>
      <c r="AB83" s="13">
        <f t="shared" ca="1" si="383"/>
        <v>-7.9999999999999988E-2</v>
      </c>
      <c r="AC83" s="13">
        <f t="shared" ca="1" si="383"/>
        <v>0.06</v>
      </c>
      <c r="AD83" s="13">
        <f t="shared" ca="1" si="383"/>
        <v>0.21999999999999997</v>
      </c>
      <c r="AE83" s="13">
        <f t="shared" ca="1" si="383"/>
        <v>-7.9999999999999988E-2</v>
      </c>
      <c r="AF83" s="13">
        <f t="shared" ca="1" si="383"/>
        <v>-0.22</v>
      </c>
      <c r="AG83" s="13">
        <f t="shared" ca="1" si="383"/>
        <v>0.16999999999999998</v>
      </c>
      <c r="AH83" s="13">
        <f t="shared" ca="1" si="383"/>
        <v>-0.23</v>
      </c>
      <c r="AI83" s="14">
        <f t="shared" ca="1" si="383"/>
        <v>0.2</v>
      </c>
      <c r="AK83" s="12" t="s">
        <v>18</v>
      </c>
      <c r="AL83" s="13" t="s">
        <v>18</v>
      </c>
      <c r="AM83" s="13" t="s">
        <v>18</v>
      </c>
      <c r="AN83" s="13" t="s">
        <v>18</v>
      </c>
      <c r="AO83" s="13" t="s">
        <v>18</v>
      </c>
      <c r="AP83" s="13" t="s">
        <v>18</v>
      </c>
      <c r="AQ83" s="13" t="s">
        <v>18</v>
      </c>
      <c r="AR83" s="13" t="s">
        <v>18</v>
      </c>
      <c r="AS83" s="14" t="s">
        <v>18</v>
      </c>
      <c r="AU83" s="12" t="e">
        <f t="shared" ca="1" si="335"/>
        <v>#VALUE!</v>
      </c>
      <c r="AV83" s="13" t="e">
        <f t="shared" ca="1" si="336"/>
        <v>#VALUE!</v>
      </c>
      <c r="AW83" s="13" t="e">
        <f t="shared" ca="1" si="337"/>
        <v>#VALUE!</v>
      </c>
      <c r="AX83" s="13" t="e">
        <f t="shared" ca="1" si="338"/>
        <v>#VALUE!</v>
      </c>
      <c r="AY83" s="13" t="e">
        <f t="shared" ca="1" si="339"/>
        <v>#VALUE!</v>
      </c>
      <c r="AZ83" s="13" t="e">
        <f t="shared" ca="1" si="379"/>
        <v>#VALUE!</v>
      </c>
      <c r="BA83" s="13" t="e">
        <f t="shared" ca="1" si="340"/>
        <v>#VALUE!</v>
      </c>
      <c r="BB83" s="13" t="e">
        <f t="shared" ca="1" si="341"/>
        <v>#VALUE!</v>
      </c>
      <c r="BC83" s="14" t="e">
        <f t="shared" ca="1" si="342"/>
        <v>#VALUE!</v>
      </c>
      <c r="BD83" s="15" t="str">
        <f t="shared" si="36"/>
        <v>gr5</v>
      </c>
      <c r="BE83" s="30" t="e">
        <f t="shared" ca="1" si="130"/>
        <v>#VALUE!</v>
      </c>
      <c r="BF83" s="31" t="e">
        <f t="shared" ca="1" si="131"/>
        <v>#VALUE!</v>
      </c>
      <c r="BG83" s="31" t="e">
        <f t="shared" ca="1" si="132"/>
        <v>#VALUE!</v>
      </c>
      <c r="BH83" s="31" t="e">
        <f t="shared" ca="1" si="133"/>
        <v>#VALUE!</v>
      </c>
      <c r="BI83" s="31" t="e">
        <f t="shared" ca="1" si="134"/>
        <v>#VALUE!</v>
      </c>
      <c r="BJ83" s="31" t="e">
        <f t="shared" ca="1" si="135"/>
        <v>#VALUE!</v>
      </c>
      <c r="BK83" s="31" t="e">
        <f t="shared" ca="1" si="136"/>
        <v>#VALUE!</v>
      </c>
      <c r="BL83" s="31" t="e">
        <f t="shared" ca="1" si="137"/>
        <v>#VALUE!</v>
      </c>
      <c r="BM83" s="32" t="e">
        <f t="shared" ca="1" si="138"/>
        <v>#VALUE!</v>
      </c>
      <c r="BO83" s="44" t="str">
        <f t="shared" si="343"/>
        <v>gr5</v>
      </c>
      <c r="BP83" s="40" t="str">
        <f t="shared" si="344"/>
        <v>5bios1</v>
      </c>
      <c r="BQ83" s="40" t="str">
        <f t="shared" si="345"/>
        <v>tech52</v>
      </c>
      <c r="BR83" s="27" t="e">
        <f t="shared" ca="1" si="346"/>
        <v>#VALUE!</v>
      </c>
      <c r="BS83" s="27" t="e">
        <f t="shared" ca="1" si="347"/>
        <v>#VALUE!</v>
      </c>
      <c r="BT83" s="27" t="e">
        <f t="shared" ca="1" si="348"/>
        <v>#VALUE!</v>
      </c>
      <c r="BU83" s="27" t="e">
        <f t="shared" ca="1" si="349"/>
        <v>#VALUE!</v>
      </c>
      <c r="BV83" s="27" t="e">
        <f t="shared" ca="1" si="350"/>
        <v>#VALUE!</v>
      </c>
      <c r="BW83" s="27" t="e">
        <f t="shared" ca="1" si="351"/>
        <v>#VALUE!</v>
      </c>
      <c r="BX83" s="27" t="e">
        <f t="shared" ca="1" si="352"/>
        <v>#VALUE!</v>
      </c>
      <c r="BY83" s="27" t="e">
        <f t="shared" ca="1" si="353"/>
        <v>#VALUE!</v>
      </c>
      <c r="BZ83" s="45" t="e">
        <f t="shared" ca="1" si="354"/>
        <v>#VALUE!</v>
      </c>
      <c r="CC83" s="53" t="str">
        <f t="shared" si="355"/>
        <v>gr5</v>
      </c>
      <c r="CD83" s="54" t="str">
        <f t="shared" si="356"/>
        <v>5bios1</v>
      </c>
      <c r="CE83" s="54" t="str">
        <f t="shared" si="357"/>
        <v>tech52</v>
      </c>
      <c r="CF83" s="27" t="e">
        <f t="shared" ca="1" si="358"/>
        <v>#VALUE!</v>
      </c>
      <c r="CG83" s="27" t="e">
        <f t="shared" ca="1" si="359"/>
        <v>#VALUE!</v>
      </c>
      <c r="CH83" s="27" t="e">
        <f t="shared" ca="1" si="360"/>
        <v>#VALUE!</v>
      </c>
      <c r="CI83" s="27" t="e">
        <f t="shared" ca="1" si="361"/>
        <v>#VALUE!</v>
      </c>
      <c r="CJ83" s="27" t="e">
        <f t="shared" ca="1" si="362"/>
        <v>#VALUE!</v>
      </c>
      <c r="CK83" s="27" t="e">
        <f t="shared" ca="1" si="363"/>
        <v>#VALUE!</v>
      </c>
      <c r="CL83" s="27" t="e">
        <f t="shared" ca="1" si="364"/>
        <v>#VALUE!</v>
      </c>
      <c r="CM83" s="27" t="e">
        <f t="shared" ca="1" si="365"/>
        <v>#VALUE!</v>
      </c>
      <c r="CN83" s="45" t="e">
        <f t="shared" ca="1" si="366"/>
        <v>#VALUE!</v>
      </c>
    </row>
    <row r="84" spans="3:92" x14ac:dyDescent="0.25">
      <c r="C84" t="str">
        <f t="shared" si="367"/>
        <v>gr5</v>
      </c>
      <c r="D84" t="s">
        <v>116</v>
      </c>
      <c r="E84" t="s">
        <v>83</v>
      </c>
      <c r="G84" s="7">
        <f t="shared" si="368"/>
        <v>6</v>
      </c>
      <c r="H84" s="8">
        <f t="shared" si="369"/>
        <v>11</v>
      </c>
      <c r="I84" s="8">
        <f t="shared" si="370"/>
        <v>10.5</v>
      </c>
      <c r="J84" s="8">
        <f t="shared" si="371"/>
        <v>6.9499999999999993</v>
      </c>
      <c r="K84" s="8">
        <f t="shared" si="372"/>
        <v>4.26</v>
      </c>
      <c r="L84" s="8">
        <f t="shared" si="373"/>
        <v>5.51</v>
      </c>
      <c r="M84" s="8">
        <f t="shared" si="374"/>
        <v>11.08</v>
      </c>
      <c r="N84" s="8">
        <f t="shared" si="375"/>
        <v>5.3</v>
      </c>
      <c r="O84" s="9">
        <f t="shared" si="376"/>
        <v>14.120000000000001</v>
      </c>
      <c r="Q84" s="7">
        <f t="shared" ref="Q84:Y84" ca="1" si="384">RANDBETWEEN(0,Q115)/100-Q115/100/2</f>
        <v>-4.0000000000000036E-2</v>
      </c>
      <c r="R84" s="8">
        <f t="shared" ca="1" si="384"/>
        <v>2.3499999999999996</v>
      </c>
      <c r="S84" s="8">
        <f t="shared" ca="1" si="384"/>
        <v>0.03</v>
      </c>
      <c r="T84" s="8">
        <f t="shared" ca="1" si="384"/>
        <v>0.14000000000000001</v>
      </c>
      <c r="U84" s="8">
        <f t="shared" ca="1" si="384"/>
        <v>6.0000000000000012E-2</v>
      </c>
      <c r="V84" s="8">
        <f t="shared" ca="1" si="384"/>
        <v>-2.0000000000000004E-2</v>
      </c>
      <c r="W84" s="8">
        <f t="shared" ca="1" si="384"/>
        <v>-1.4999999999999999E-2</v>
      </c>
      <c r="X84" s="8">
        <f t="shared" ca="1" si="384"/>
        <v>0.12</v>
      </c>
      <c r="Y84" s="9">
        <f t="shared" ca="1" si="384"/>
        <v>1.0000000000000002E-2</v>
      </c>
      <c r="AA84" s="7">
        <f t="shared" ref="AA84:AI84" ca="1" si="385">RANDBETWEEN(0,AA115)/100-AA115/100/2</f>
        <v>9.9999999999999978E-2</v>
      </c>
      <c r="AB84" s="8">
        <f t="shared" ca="1" si="385"/>
        <v>-0.12</v>
      </c>
      <c r="AC84" s="8">
        <f t="shared" ca="1" si="385"/>
        <v>-0.19</v>
      </c>
      <c r="AD84" s="8">
        <f t="shared" ca="1" si="385"/>
        <v>-1.0000000000000009E-2</v>
      </c>
      <c r="AE84" s="8">
        <f t="shared" ca="1" si="385"/>
        <v>-0.22</v>
      </c>
      <c r="AF84" s="8">
        <f t="shared" ca="1" si="385"/>
        <v>0.19</v>
      </c>
      <c r="AG84" s="8">
        <f t="shared" ca="1" si="385"/>
        <v>0.21999999999999997</v>
      </c>
      <c r="AH84" s="8">
        <f t="shared" ca="1" si="385"/>
        <v>0.18</v>
      </c>
      <c r="AI84" s="9">
        <f t="shared" ca="1" si="385"/>
        <v>4.9999999999999989E-2</v>
      </c>
      <c r="AK84" s="7" t="s">
        <v>18</v>
      </c>
      <c r="AL84" s="8" t="s">
        <v>18</v>
      </c>
      <c r="AM84" s="8" t="s">
        <v>18</v>
      </c>
      <c r="AN84" s="8" t="s">
        <v>18</v>
      </c>
      <c r="AO84" s="8" t="s">
        <v>18</v>
      </c>
      <c r="AP84" s="8" t="s">
        <v>18</v>
      </c>
      <c r="AQ84" s="8" t="s">
        <v>18</v>
      </c>
      <c r="AR84" s="8" t="s">
        <v>18</v>
      </c>
      <c r="AS84" s="9" t="s">
        <v>18</v>
      </c>
      <c r="AU84" s="7" t="e">
        <f t="shared" ca="1" si="335"/>
        <v>#VALUE!</v>
      </c>
      <c r="AV84" s="8" t="e">
        <f t="shared" ca="1" si="336"/>
        <v>#VALUE!</v>
      </c>
      <c r="AW84" s="8" t="e">
        <f t="shared" ca="1" si="337"/>
        <v>#VALUE!</v>
      </c>
      <c r="AX84" s="8" t="e">
        <f t="shared" ca="1" si="338"/>
        <v>#VALUE!</v>
      </c>
      <c r="AY84" s="8" t="e">
        <f t="shared" ca="1" si="339"/>
        <v>#VALUE!</v>
      </c>
      <c r="AZ84" s="8" t="e">
        <f t="shared" ca="1" si="379"/>
        <v>#VALUE!</v>
      </c>
      <c r="BA84" s="8" t="e">
        <f t="shared" ca="1" si="340"/>
        <v>#VALUE!</v>
      </c>
      <c r="BB84" s="8" t="e">
        <f t="shared" ca="1" si="341"/>
        <v>#VALUE!</v>
      </c>
      <c r="BC84" s="9" t="e">
        <f t="shared" ca="1" si="342"/>
        <v>#VALUE!</v>
      </c>
      <c r="BD84" s="15" t="str">
        <f t="shared" si="36"/>
        <v>gr5</v>
      </c>
      <c r="BE84" s="24" t="e">
        <f t="shared" ca="1" si="130"/>
        <v>#VALUE!</v>
      </c>
      <c r="BF84" s="25" t="e">
        <f t="shared" ca="1" si="131"/>
        <v>#VALUE!</v>
      </c>
      <c r="BG84" s="25" t="e">
        <f t="shared" ca="1" si="132"/>
        <v>#VALUE!</v>
      </c>
      <c r="BH84" s="25" t="e">
        <f t="shared" ca="1" si="133"/>
        <v>#VALUE!</v>
      </c>
      <c r="BI84" s="25" t="e">
        <f t="shared" ca="1" si="134"/>
        <v>#VALUE!</v>
      </c>
      <c r="BJ84" s="25" t="e">
        <f t="shared" ca="1" si="135"/>
        <v>#VALUE!</v>
      </c>
      <c r="BK84" s="25" t="e">
        <f t="shared" ca="1" si="136"/>
        <v>#VALUE!</v>
      </c>
      <c r="BL84" s="25" t="e">
        <f t="shared" ca="1" si="137"/>
        <v>#VALUE!</v>
      </c>
      <c r="BM84" s="26" t="e">
        <f t="shared" ca="1" si="138"/>
        <v>#VALUE!</v>
      </c>
      <c r="BO84" s="44" t="str">
        <f t="shared" si="343"/>
        <v>gr5</v>
      </c>
      <c r="BP84" s="40" t="str">
        <f t="shared" si="344"/>
        <v>5bios2</v>
      </c>
      <c r="BQ84" s="40" t="str">
        <f t="shared" si="345"/>
        <v>tech53</v>
      </c>
      <c r="BR84" s="27" t="e">
        <f t="shared" ca="1" si="346"/>
        <v>#VALUE!</v>
      </c>
      <c r="BS84" s="27" t="e">
        <f t="shared" ca="1" si="347"/>
        <v>#VALUE!</v>
      </c>
      <c r="BT84" s="27" t="e">
        <f t="shared" ca="1" si="348"/>
        <v>#VALUE!</v>
      </c>
      <c r="BU84" s="27" t="e">
        <f t="shared" ca="1" si="349"/>
        <v>#VALUE!</v>
      </c>
      <c r="BV84" s="27" t="e">
        <f t="shared" ca="1" si="350"/>
        <v>#VALUE!</v>
      </c>
      <c r="BW84" s="27" t="e">
        <f t="shared" ca="1" si="351"/>
        <v>#VALUE!</v>
      </c>
      <c r="BX84" s="27" t="e">
        <f t="shared" ca="1" si="352"/>
        <v>#VALUE!</v>
      </c>
      <c r="BY84" s="27" t="e">
        <f t="shared" ca="1" si="353"/>
        <v>#VALUE!</v>
      </c>
      <c r="BZ84" s="45" t="e">
        <f t="shared" ca="1" si="354"/>
        <v>#VALUE!</v>
      </c>
      <c r="CC84" s="53" t="str">
        <f t="shared" si="355"/>
        <v>gr5</v>
      </c>
      <c r="CD84" s="54" t="str">
        <f t="shared" si="356"/>
        <v>5bios2</v>
      </c>
      <c r="CE84" s="54" t="str">
        <f t="shared" si="357"/>
        <v>tech53</v>
      </c>
      <c r="CF84" s="27" t="e">
        <f t="shared" ca="1" si="358"/>
        <v>#VALUE!</v>
      </c>
      <c r="CG84" s="27" t="e">
        <f t="shared" ca="1" si="359"/>
        <v>#VALUE!</v>
      </c>
      <c r="CH84" s="27" t="e">
        <f t="shared" ca="1" si="360"/>
        <v>#VALUE!</v>
      </c>
      <c r="CI84" s="27" t="e">
        <f t="shared" ca="1" si="361"/>
        <v>#VALUE!</v>
      </c>
      <c r="CJ84" s="27" t="e">
        <f t="shared" ca="1" si="362"/>
        <v>#VALUE!</v>
      </c>
      <c r="CK84" s="27" t="e">
        <f t="shared" ca="1" si="363"/>
        <v>#VALUE!</v>
      </c>
      <c r="CL84" s="27" t="e">
        <f t="shared" ca="1" si="364"/>
        <v>#VALUE!</v>
      </c>
      <c r="CM84" s="27" t="e">
        <f t="shared" ca="1" si="365"/>
        <v>#VALUE!</v>
      </c>
      <c r="CN84" s="45" t="e">
        <f t="shared" ca="1" si="366"/>
        <v>#VALUE!</v>
      </c>
    </row>
    <row r="85" spans="3:92" x14ac:dyDescent="0.25">
      <c r="C85" t="str">
        <f t="shared" si="367"/>
        <v>gr5</v>
      </c>
      <c r="D85" t="s">
        <v>116</v>
      </c>
      <c r="E85" t="s">
        <v>84</v>
      </c>
      <c r="G85" s="10">
        <f t="shared" si="368"/>
        <v>6</v>
      </c>
      <c r="H85" s="6">
        <f t="shared" si="369"/>
        <v>11</v>
      </c>
      <c r="I85" s="6">
        <f t="shared" si="370"/>
        <v>10.5</v>
      </c>
      <c r="J85" s="6">
        <f t="shared" si="371"/>
        <v>6.9499999999999993</v>
      </c>
      <c r="K85" s="6">
        <f t="shared" si="372"/>
        <v>4.26</v>
      </c>
      <c r="L85" s="6">
        <f t="shared" si="373"/>
        <v>5.51</v>
      </c>
      <c r="M85" s="6">
        <f t="shared" si="374"/>
        <v>11.08</v>
      </c>
      <c r="N85" s="6">
        <f t="shared" si="375"/>
        <v>5.3</v>
      </c>
      <c r="O85" s="11">
        <f t="shared" si="376"/>
        <v>14.120000000000001</v>
      </c>
      <c r="Q85" s="10">
        <f t="shared" ref="Q85:Y85" ca="1" si="386">Q84</f>
        <v>-4.0000000000000036E-2</v>
      </c>
      <c r="R85" s="6">
        <f t="shared" ca="1" si="386"/>
        <v>2.3499999999999996</v>
      </c>
      <c r="S85" s="6">
        <f t="shared" ca="1" si="386"/>
        <v>0.03</v>
      </c>
      <c r="T85" s="6">
        <f t="shared" ca="1" si="386"/>
        <v>0.14000000000000001</v>
      </c>
      <c r="U85" s="6">
        <f t="shared" ca="1" si="386"/>
        <v>6.0000000000000012E-2</v>
      </c>
      <c r="V85" s="6">
        <f t="shared" ca="1" si="386"/>
        <v>-2.0000000000000004E-2</v>
      </c>
      <c r="W85" s="6">
        <f t="shared" ca="1" si="386"/>
        <v>-1.4999999999999999E-2</v>
      </c>
      <c r="X85" s="6">
        <f t="shared" ca="1" si="386"/>
        <v>0.12</v>
      </c>
      <c r="Y85" s="11">
        <f t="shared" ca="1" si="386"/>
        <v>1.0000000000000002E-2</v>
      </c>
      <c r="AA85" s="10">
        <f t="shared" ref="AA85:AI85" ca="1" si="387">RANDBETWEEN(0,AA115)/100-AA115/100/2</f>
        <v>-1.0000000000000009E-2</v>
      </c>
      <c r="AB85" s="6">
        <f t="shared" ca="1" si="387"/>
        <v>-0.25</v>
      </c>
      <c r="AC85" s="6">
        <f t="shared" ca="1" si="387"/>
        <v>-7.9999999999999988E-2</v>
      </c>
      <c r="AD85" s="6">
        <f t="shared" ca="1" si="387"/>
        <v>0.16999999999999998</v>
      </c>
      <c r="AE85" s="6">
        <f t="shared" ca="1" si="387"/>
        <v>-0.21</v>
      </c>
      <c r="AF85" s="6">
        <f t="shared" ca="1" si="387"/>
        <v>9.0000000000000024E-2</v>
      </c>
      <c r="AG85" s="6">
        <f t="shared" ca="1" si="387"/>
        <v>0.21999999999999997</v>
      </c>
      <c r="AH85" s="6">
        <f t="shared" ca="1" si="387"/>
        <v>-0.14000000000000001</v>
      </c>
      <c r="AI85" s="11">
        <f t="shared" ca="1" si="387"/>
        <v>0.24</v>
      </c>
      <c r="AK85" s="10" t="s">
        <v>18</v>
      </c>
      <c r="AL85" s="6" t="s">
        <v>18</v>
      </c>
      <c r="AM85" s="6" t="s">
        <v>18</v>
      </c>
      <c r="AN85" s="6" t="s">
        <v>18</v>
      </c>
      <c r="AO85" s="6" t="s">
        <v>18</v>
      </c>
      <c r="AP85" s="6" t="s">
        <v>18</v>
      </c>
      <c r="AQ85" s="6" t="s">
        <v>18</v>
      </c>
      <c r="AR85" s="6" t="s">
        <v>18</v>
      </c>
      <c r="AS85" s="11" t="s">
        <v>18</v>
      </c>
      <c r="AU85" s="10" t="e">
        <f t="shared" ca="1" si="335"/>
        <v>#VALUE!</v>
      </c>
      <c r="AV85" s="6" t="e">
        <f t="shared" ca="1" si="336"/>
        <v>#VALUE!</v>
      </c>
      <c r="AW85" s="6" t="e">
        <f t="shared" ca="1" si="337"/>
        <v>#VALUE!</v>
      </c>
      <c r="AX85" s="6" t="e">
        <f t="shared" ca="1" si="338"/>
        <v>#VALUE!</v>
      </c>
      <c r="AY85" s="6" t="e">
        <f t="shared" ca="1" si="339"/>
        <v>#VALUE!</v>
      </c>
      <c r="AZ85" s="6" t="e">
        <f t="shared" ca="1" si="379"/>
        <v>#VALUE!</v>
      </c>
      <c r="BA85" s="6" t="e">
        <f t="shared" ca="1" si="340"/>
        <v>#VALUE!</v>
      </c>
      <c r="BB85" s="6" t="e">
        <f t="shared" ca="1" si="341"/>
        <v>#VALUE!</v>
      </c>
      <c r="BC85" s="11" t="e">
        <f t="shared" ca="1" si="342"/>
        <v>#VALUE!</v>
      </c>
      <c r="BD85" s="15" t="str">
        <f t="shared" si="36"/>
        <v>gr5</v>
      </c>
      <c r="BE85" s="27" t="e">
        <f t="shared" ca="1" si="130"/>
        <v>#VALUE!</v>
      </c>
      <c r="BF85" s="28" t="e">
        <f t="shared" ca="1" si="131"/>
        <v>#VALUE!</v>
      </c>
      <c r="BG85" s="28" t="e">
        <f t="shared" ca="1" si="132"/>
        <v>#VALUE!</v>
      </c>
      <c r="BH85" s="28" t="e">
        <f t="shared" ca="1" si="133"/>
        <v>#VALUE!</v>
      </c>
      <c r="BI85" s="28" t="e">
        <f t="shared" ca="1" si="134"/>
        <v>#VALUE!</v>
      </c>
      <c r="BJ85" s="28" t="e">
        <f t="shared" ca="1" si="135"/>
        <v>#VALUE!</v>
      </c>
      <c r="BK85" s="28" t="e">
        <f t="shared" ca="1" si="136"/>
        <v>#VALUE!</v>
      </c>
      <c r="BL85" s="28" t="e">
        <f t="shared" ca="1" si="137"/>
        <v>#VALUE!</v>
      </c>
      <c r="BM85" s="29" t="e">
        <f t="shared" ca="1" si="138"/>
        <v>#VALUE!</v>
      </c>
      <c r="BO85" s="44" t="str">
        <f t="shared" si="343"/>
        <v>gr5</v>
      </c>
      <c r="BP85" s="40" t="str">
        <f t="shared" si="344"/>
        <v>5bios2</v>
      </c>
      <c r="BQ85" s="40" t="str">
        <f t="shared" si="345"/>
        <v>tech54</v>
      </c>
      <c r="BR85" s="27" t="e">
        <f t="shared" ca="1" si="346"/>
        <v>#VALUE!</v>
      </c>
      <c r="BS85" s="27" t="e">
        <f t="shared" ca="1" si="347"/>
        <v>#VALUE!</v>
      </c>
      <c r="BT85" s="27" t="e">
        <f t="shared" ca="1" si="348"/>
        <v>#VALUE!</v>
      </c>
      <c r="BU85" s="27" t="e">
        <f t="shared" ca="1" si="349"/>
        <v>#VALUE!</v>
      </c>
      <c r="BV85" s="27" t="e">
        <f t="shared" ca="1" si="350"/>
        <v>#VALUE!</v>
      </c>
      <c r="BW85" s="27" t="e">
        <f t="shared" ca="1" si="351"/>
        <v>#VALUE!</v>
      </c>
      <c r="BX85" s="27" t="e">
        <f t="shared" ca="1" si="352"/>
        <v>#VALUE!</v>
      </c>
      <c r="BY85" s="27" t="e">
        <f t="shared" ca="1" si="353"/>
        <v>#VALUE!</v>
      </c>
      <c r="BZ85" s="45" t="e">
        <f t="shared" ca="1" si="354"/>
        <v>#VALUE!</v>
      </c>
      <c r="CC85" s="53" t="str">
        <f t="shared" si="355"/>
        <v>gr5</v>
      </c>
      <c r="CD85" s="54" t="str">
        <f t="shared" si="356"/>
        <v>5bios2</v>
      </c>
      <c r="CE85" s="54" t="str">
        <f t="shared" si="357"/>
        <v>tech54</v>
      </c>
      <c r="CF85" s="27" t="e">
        <f t="shared" ca="1" si="358"/>
        <v>#VALUE!</v>
      </c>
      <c r="CG85" s="27" t="e">
        <f t="shared" ca="1" si="359"/>
        <v>#VALUE!</v>
      </c>
      <c r="CH85" s="27" t="e">
        <f t="shared" ca="1" si="360"/>
        <v>#VALUE!</v>
      </c>
      <c r="CI85" s="27" t="e">
        <f t="shared" ca="1" si="361"/>
        <v>#VALUE!</v>
      </c>
      <c r="CJ85" s="27" t="e">
        <f t="shared" ca="1" si="362"/>
        <v>#VALUE!</v>
      </c>
      <c r="CK85" s="27" t="e">
        <f t="shared" ca="1" si="363"/>
        <v>#VALUE!</v>
      </c>
      <c r="CL85" s="27" t="e">
        <f t="shared" ca="1" si="364"/>
        <v>#VALUE!</v>
      </c>
      <c r="CM85" s="27" t="e">
        <f t="shared" ca="1" si="365"/>
        <v>#VALUE!</v>
      </c>
      <c r="CN85" s="45" t="e">
        <f t="shared" ca="1" si="366"/>
        <v>#VALUE!</v>
      </c>
    </row>
    <row r="86" spans="3:92" x14ac:dyDescent="0.25">
      <c r="C86" t="str">
        <f t="shared" si="367"/>
        <v>gr5</v>
      </c>
      <c r="D86" t="s">
        <v>116</v>
      </c>
      <c r="E86" t="s">
        <v>85</v>
      </c>
      <c r="G86" s="10">
        <f t="shared" si="368"/>
        <v>6</v>
      </c>
      <c r="H86" s="6">
        <f t="shared" si="369"/>
        <v>11</v>
      </c>
      <c r="I86" s="6">
        <f t="shared" si="370"/>
        <v>10.5</v>
      </c>
      <c r="J86" s="6">
        <f t="shared" si="371"/>
        <v>6.9499999999999993</v>
      </c>
      <c r="K86" s="6">
        <f t="shared" si="372"/>
        <v>4.26</v>
      </c>
      <c r="L86" s="6">
        <f t="shared" si="373"/>
        <v>5.51</v>
      </c>
      <c r="M86" s="6">
        <f t="shared" si="374"/>
        <v>11.08</v>
      </c>
      <c r="N86" s="6">
        <f t="shared" si="375"/>
        <v>5.3</v>
      </c>
      <c r="O86" s="11">
        <f t="shared" si="376"/>
        <v>14.120000000000001</v>
      </c>
      <c r="Q86" s="10">
        <f t="shared" ref="Q86:Y86" ca="1" si="388">Q85</f>
        <v>-4.0000000000000036E-2</v>
      </c>
      <c r="R86" s="6">
        <f t="shared" ca="1" si="388"/>
        <v>2.3499999999999996</v>
      </c>
      <c r="S86" s="6">
        <f t="shared" ca="1" si="388"/>
        <v>0.03</v>
      </c>
      <c r="T86" s="6">
        <f t="shared" ca="1" si="388"/>
        <v>0.14000000000000001</v>
      </c>
      <c r="U86" s="6">
        <f t="shared" ca="1" si="388"/>
        <v>6.0000000000000012E-2</v>
      </c>
      <c r="V86" s="6">
        <f t="shared" ca="1" si="388"/>
        <v>-2.0000000000000004E-2</v>
      </c>
      <c r="W86" s="6">
        <f t="shared" ca="1" si="388"/>
        <v>-1.4999999999999999E-2</v>
      </c>
      <c r="X86" s="6">
        <f t="shared" ca="1" si="388"/>
        <v>0.12</v>
      </c>
      <c r="Y86" s="11">
        <f t="shared" ca="1" si="388"/>
        <v>1.0000000000000002E-2</v>
      </c>
      <c r="AA86" s="10">
        <f t="shared" ref="AA86:AI86" ca="1" si="389">RANDBETWEEN(0,AA115)/100-AA115/100/2</f>
        <v>-1.0000000000000009E-2</v>
      </c>
      <c r="AB86" s="6">
        <f t="shared" ca="1" si="389"/>
        <v>0.21999999999999997</v>
      </c>
      <c r="AC86" s="6">
        <f t="shared" ca="1" si="389"/>
        <v>8.0000000000000016E-2</v>
      </c>
      <c r="AD86" s="6">
        <f t="shared" ca="1" si="389"/>
        <v>0.16999999999999998</v>
      </c>
      <c r="AE86" s="6">
        <f t="shared" ca="1" si="389"/>
        <v>-0.03</v>
      </c>
      <c r="AF86" s="6">
        <f t="shared" ca="1" si="389"/>
        <v>-1.999999999999999E-2</v>
      </c>
      <c r="AG86" s="6">
        <f t="shared" ca="1" si="389"/>
        <v>-0.21</v>
      </c>
      <c r="AH86" s="6">
        <f t="shared" ca="1" si="389"/>
        <v>0.21999999999999997</v>
      </c>
      <c r="AI86" s="11">
        <f t="shared" ca="1" si="389"/>
        <v>9.9999999999999978E-2</v>
      </c>
      <c r="AK86" s="10" t="s">
        <v>18</v>
      </c>
      <c r="AL86" s="6" t="s">
        <v>18</v>
      </c>
      <c r="AM86" s="6" t="s">
        <v>18</v>
      </c>
      <c r="AN86" s="6" t="s">
        <v>18</v>
      </c>
      <c r="AO86" s="6" t="s">
        <v>18</v>
      </c>
      <c r="AP86" s="6" t="s">
        <v>18</v>
      </c>
      <c r="AQ86" s="6" t="s">
        <v>18</v>
      </c>
      <c r="AR86" s="6" t="s">
        <v>18</v>
      </c>
      <c r="AS86" s="11" t="s">
        <v>18</v>
      </c>
      <c r="AU86" s="10" t="e">
        <f t="shared" ca="1" si="335"/>
        <v>#VALUE!</v>
      </c>
      <c r="AV86" s="6" t="e">
        <f t="shared" ca="1" si="336"/>
        <v>#VALUE!</v>
      </c>
      <c r="AW86" s="6" t="e">
        <f t="shared" ca="1" si="337"/>
        <v>#VALUE!</v>
      </c>
      <c r="AX86" s="6" t="e">
        <f t="shared" ca="1" si="338"/>
        <v>#VALUE!</v>
      </c>
      <c r="AY86" s="6" t="e">
        <f t="shared" ca="1" si="339"/>
        <v>#VALUE!</v>
      </c>
      <c r="AZ86" s="6" t="e">
        <f t="shared" ca="1" si="379"/>
        <v>#VALUE!</v>
      </c>
      <c r="BA86" s="6" t="e">
        <f t="shared" ca="1" si="340"/>
        <v>#VALUE!</v>
      </c>
      <c r="BB86" s="6" t="e">
        <f t="shared" ca="1" si="341"/>
        <v>#VALUE!</v>
      </c>
      <c r="BC86" s="11" t="e">
        <f t="shared" ca="1" si="342"/>
        <v>#VALUE!</v>
      </c>
      <c r="BD86" s="15" t="str">
        <f t="shared" si="36"/>
        <v>gr5</v>
      </c>
      <c r="BE86" s="27" t="e">
        <f t="shared" ca="1" si="130"/>
        <v>#VALUE!</v>
      </c>
      <c r="BF86" s="28" t="e">
        <f t="shared" ca="1" si="131"/>
        <v>#VALUE!</v>
      </c>
      <c r="BG86" s="28" t="e">
        <f t="shared" ca="1" si="132"/>
        <v>#VALUE!</v>
      </c>
      <c r="BH86" s="28" t="e">
        <f t="shared" ca="1" si="133"/>
        <v>#VALUE!</v>
      </c>
      <c r="BI86" s="28" t="e">
        <f t="shared" ca="1" si="134"/>
        <v>#VALUE!</v>
      </c>
      <c r="BJ86" s="28" t="e">
        <f t="shared" ca="1" si="135"/>
        <v>#VALUE!</v>
      </c>
      <c r="BK86" s="28" t="e">
        <f t="shared" ca="1" si="136"/>
        <v>#VALUE!</v>
      </c>
      <c r="BL86" s="28" t="e">
        <f t="shared" ca="1" si="137"/>
        <v>#VALUE!</v>
      </c>
      <c r="BM86" s="29" t="e">
        <f t="shared" ca="1" si="138"/>
        <v>#VALUE!</v>
      </c>
      <c r="BO86" s="44" t="str">
        <f t="shared" si="343"/>
        <v>gr5</v>
      </c>
      <c r="BP86" s="40" t="str">
        <f t="shared" si="344"/>
        <v>5bios2</v>
      </c>
      <c r="BQ86" s="40" t="str">
        <f t="shared" si="345"/>
        <v>tech55</v>
      </c>
      <c r="BR86" s="27" t="e">
        <f t="shared" ca="1" si="346"/>
        <v>#VALUE!</v>
      </c>
      <c r="BS86" s="27" t="e">
        <f t="shared" ca="1" si="347"/>
        <v>#VALUE!</v>
      </c>
      <c r="BT86" s="27" t="e">
        <f t="shared" ca="1" si="348"/>
        <v>#VALUE!</v>
      </c>
      <c r="BU86" s="27" t="e">
        <f t="shared" ca="1" si="349"/>
        <v>#VALUE!</v>
      </c>
      <c r="BV86" s="27" t="e">
        <f t="shared" ca="1" si="350"/>
        <v>#VALUE!</v>
      </c>
      <c r="BW86" s="27" t="e">
        <f t="shared" ca="1" si="351"/>
        <v>#VALUE!</v>
      </c>
      <c r="BX86" s="27" t="e">
        <f t="shared" ca="1" si="352"/>
        <v>#VALUE!</v>
      </c>
      <c r="BY86" s="27" t="e">
        <f t="shared" ca="1" si="353"/>
        <v>#VALUE!</v>
      </c>
      <c r="BZ86" s="45" t="e">
        <f t="shared" ca="1" si="354"/>
        <v>#VALUE!</v>
      </c>
      <c r="CC86" s="53" t="str">
        <f t="shared" si="355"/>
        <v>gr5</v>
      </c>
      <c r="CD86" s="54" t="str">
        <f t="shared" si="356"/>
        <v>5bios2</v>
      </c>
      <c r="CE86" s="54" t="str">
        <f t="shared" si="357"/>
        <v>tech55</v>
      </c>
      <c r="CF86" s="27" t="e">
        <f t="shared" ca="1" si="358"/>
        <v>#VALUE!</v>
      </c>
      <c r="CG86" s="27" t="e">
        <f t="shared" ca="1" si="359"/>
        <v>#VALUE!</v>
      </c>
      <c r="CH86" s="27" t="e">
        <f t="shared" ca="1" si="360"/>
        <v>#VALUE!</v>
      </c>
      <c r="CI86" s="27" t="e">
        <f t="shared" ca="1" si="361"/>
        <v>#VALUE!</v>
      </c>
      <c r="CJ86" s="27" t="e">
        <f t="shared" ca="1" si="362"/>
        <v>#VALUE!</v>
      </c>
      <c r="CK86" s="27" t="e">
        <f t="shared" ca="1" si="363"/>
        <v>#VALUE!</v>
      </c>
      <c r="CL86" s="27" t="e">
        <f t="shared" ca="1" si="364"/>
        <v>#VALUE!</v>
      </c>
      <c r="CM86" s="27" t="e">
        <f t="shared" ca="1" si="365"/>
        <v>#VALUE!</v>
      </c>
      <c r="CN86" s="45" t="e">
        <f t="shared" ca="1" si="366"/>
        <v>#VALUE!</v>
      </c>
    </row>
    <row r="87" spans="3:92" x14ac:dyDescent="0.25">
      <c r="C87" t="str">
        <f t="shared" si="367"/>
        <v>gr5</v>
      </c>
      <c r="D87" t="s">
        <v>116</v>
      </c>
      <c r="E87" t="s">
        <v>86</v>
      </c>
      <c r="G87" s="12">
        <f t="shared" si="368"/>
        <v>6</v>
      </c>
      <c r="H87" s="13">
        <f t="shared" si="369"/>
        <v>11</v>
      </c>
      <c r="I87" s="13">
        <f t="shared" si="370"/>
        <v>10.5</v>
      </c>
      <c r="J87" s="13">
        <f t="shared" si="371"/>
        <v>6.9499999999999993</v>
      </c>
      <c r="K87" s="13">
        <f t="shared" si="372"/>
        <v>4.26</v>
      </c>
      <c r="L87" s="13">
        <f t="shared" si="373"/>
        <v>5.51</v>
      </c>
      <c r="M87" s="13">
        <f t="shared" si="374"/>
        <v>11.08</v>
      </c>
      <c r="N87" s="13">
        <f t="shared" si="375"/>
        <v>5.3</v>
      </c>
      <c r="O87" s="14">
        <f t="shared" si="376"/>
        <v>14.120000000000001</v>
      </c>
      <c r="Q87" s="12">
        <f t="shared" ref="Q87:Y87" ca="1" si="390">Q86</f>
        <v>-4.0000000000000036E-2</v>
      </c>
      <c r="R87" s="13">
        <f t="shared" ca="1" si="390"/>
        <v>2.3499999999999996</v>
      </c>
      <c r="S87" s="13">
        <f t="shared" ca="1" si="390"/>
        <v>0.03</v>
      </c>
      <c r="T87" s="13">
        <f t="shared" ca="1" si="390"/>
        <v>0.14000000000000001</v>
      </c>
      <c r="U87" s="13">
        <f t="shared" ca="1" si="390"/>
        <v>6.0000000000000012E-2</v>
      </c>
      <c r="V87" s="13">
        <f t="shared" ca="1" si="390"/>
        <v>-2.0000000000000004E-2</v>
      </c>
      <c r="W87" s="13">
        <f t="shared" ca="1" si="390"/>
        <v>-1.4999999999999999E-2</v>
      </c>
      <c r="X87" s="13">
        <f t="shared" ca="1" si="390"/>
        <v>0.12</v>
      </c>
      <c r="Y87" s="14">
        <f t="shared" ca="1" si="390"/>
        <v>1.0000000000000002E-2</v>
      </c>
      <c r="AA87" s="12">
        <f t="shared" ref="AA87:AI87" ca="1" si="391">RANDBETWEEN(0,AA115)/100-AA115/100/2</f>
        <v>0.15000000000000002</v>
      </c>
      <c r="AB87" s="13">
        <f t="shared" ca="1" si="391"/>
        <v>-0.06</v>
      </c>
      <c r="AC87" s="13">
        <f t="shared" ca="1" si="391"/>
        <v>-0.18</v>
      </c>
      <c r="AD87" s="13">
        <f t="shared" ca="1" si="391"/>
        <v>-1.999999999999999E-2</v>
      </c>
      <c r="AE87" s="13">
        <f t="shared" ca="1" si="391"/>
        <v>0.10999999999999999</v>
      </c>
      <c r="AF87" s="13">
        <f t="shared" ca="1" si="391"/>
        <v>-0.06</v>
      </c>
      <c r="AG87" s="13">
        <f t="shared" ca="1" si="391"/>
        <v>-0.10999999999999999</v>
      </c>
      <c r="AH87" s="13">
        <f t="shared" ca="1" si="391"/>
        <v>-4.0000000000000008E-2</v>
      </c>
      <c r="AI87" s="14">
        <f t="shared" ca="1" si="391"/>
        <v>0.10999999999999999</v>
      </c>
      <c r="AK87" s="12"/>
      <c r="AL87" s="13"/>
      <c r="AM87" s="13" t="s">
        <v>18</v>
      </c>
      <c r="AN87" s="13" t="s">
        <v>18</v>
      </c>
      <c r="AO87" s="13" t="s">
        <v>18</v>
      </c>
      <c r="AP87" s="13" t="s">
        <v>18</v>
      </c>
      <c r="AQ87" s="13" t="s">
        <v>18</v>
      </c>
      <c r="AR87" s="13" t="s">
        <v>18</v>
      </c>
      <c r="AS87" s="14" t="s">
        <v>18</v>
      </c>
      <c r="AU87" s="12">
        <f t="shared" ca="1" si="335"/>
        <v>6.11</v>
      </c>
      <c r="AV87" s="13">
        <f t="shared" ca="1" si="336"/>
        <v>13.29</v>
      </c>
      <c r="AW87" s="13" t="e">
        <f t="shared" ca="1" si="337"/>
        <v>#VALUE!</v>
      </c>
      <c r="AX87" s="13" t="e">
        <f t="shared" ca="1" si="338"/>
        <v>#VALUE!</v>
      </c>
      <c r="AY87" s="13" t="e">
        <f t="shared" ca="1" si="339"/>
        <v>#VALUE!</v>
      </c>
      <c r="AZ87" s="13" t="e">
        <f t="shared" ca="1" si="379"/>
        <v>#VALUE!</v>
      </c>
      <c r="BA87" s="13" t="e">
        <f t="shared" ca="1" si="340"/>
        <v>#VALUE!</v>
      </c>
      <c r="BB87" s="13" t="e">
        <f t="shared" ca="1" si="341"/>
        <v>#VALUE!</v>
      </c>
      <c r="BC87" s="14" t="e">
        <f t="shared" ca="1" si="342"/>
        <v>#VALUE!</v>
      </c>
      <c r="BD87" s="15" t="str">
        <f t="shared" si="36"/>
        <v>gr5</v>
      </c>
      <c r="BE87" s="27">
        <f t="shared" ca="1" si="130"/>
        <v>6.11</v>
      </c>
      <c r="BF87" s="28">
        <f t="shared" ca="1" si="131"/>
        <v>13.29</v>
      </c>
      <c r="BG87" s="28" t="e">
        <f t="shared" ca="1" si="132"/>
        <v>#VALUE!</v>
      </c>
      <c r="BH87" s="28" t="e">
        <f t="shared" ca="1" si="133"/>
        <v>#VALUE!</v>
      </c>
      <c r="BI87" s="28" t="e">
        <f t="shared" ca="1" si="134"/>
        <v>#VALUE!</v>
      </c>
      <c r="BJ87" s="28" t="e">
        <f t="shared" ca="1" si="135"/>
        <v>#VALUE!</v>
      </c>
      <c r="BK87" s="28" t="e">
        <f t="shared" ca="1" si="136"/>
        <v>#VALUE!</v>
      </c>
      <c r="BL87" s="28" t="e">
        <f t="shared" ca="1" si="137"/>
        <v>#VALUE!</v>
      </c>
      <c r="BM87" s="29" t="e">
        <f t="shared" ca="1" si="138"/>
        <v>#VALUE!</v>
      </c>
      <c r="BO87" s="44" t="str">
        <f t="shared" si="343"/>
        <v>gr5</v>
      </c>
      <c r="BP87" s="40" t="str">
        <f t="shared" si="344"/>
        <v>5bios2</v>
      </c>
      <c r="BQ87" s="40" t="str">
        <f t="shared" si="345"/>
        <v>tech56</v>
      </c>
      <c r="BR87" s="27">
        <f t="shared" ca="1" si="346"/>
        <v>6.11</v>
      </c>
      <c r="BS87" s="27">
        <f t="shared" ca="1" si="347"/>
        <v>13.29</v>
      </c>
      <c r="BT87" s="27" t="e">
        <f t="shared" ca="1" si="348"/>
        <v>#VALUE!</v>
      </c>
      <c r="BU87" s="27" t="e">
        <f t="shared" ca="1" si="349"/>
        <v>#VALUE!</v>
      </c>
      <c r="BV87" s="27" t="e">
        <f t="shared" ca="1" si="350"/>
        <v>#VALUE!</v>
      </c>
      <c r="BW87" s="27" t="e">
        <f t="shared" ca="1" si="351"/>
        <v>#VALUE!</v>
      </c>
      <c r="BX87" s="27" t="e">
        <f t="shared" ca="1" si="352"/>
        <v>#VALUE!</v>
      </c>
      <c r="BY87" s="27" t="e">
        <f t="shared" ca="1" si="353"/>
        <v>#VALUE!</v>
      </c>
      <c r="BZ87" s="45" t="e">
        <f t="shared" ca="1" si="354"/>
        <v>#VALUE!</v>
      </c>
      <c r="CC87" s="53" t="str">
        <f t="shared" si="355"/>
        <v>gr5</v>
      </c>
      <c r="CD87" s="54" t="str">
        <f t="shared" si="356"/>
        <v>5bios2</v>
      </c>
      <c r="CE87" s="54" t="str">
        <f t="shared" si="357"/>
        <v>tech56</v>
      </c>
      <c r="CF87" s="27">
        <f t="shared" ca="1" si="358"/>
        <v>0.5</v>
      </c>
      <c r="CG87" s="27">
        <f t="shared" ca="1" si="359"/>
        <v>0.5</v>
      </c>
      <c r="CH87" s="27" t="e">
        <f t="shared" ca="1" si="360"/>
        <v>#VALUE!</v>
      </c>
      <c r="CI87" s="27" t="e">
        <f t="shared" ca="1" si="361"/>
        <v>#VALUE!</v>
      </c>
      <c r="CJ87" s="27" t="e">
        <f t="shared" ca="1" si="362"/>
        <v>#VALUE!</v>
      </c>
      <c r="CK87" s="27" t="e">
        <f t="shared" ca="1" si="363"/>
        <v>#VALUE!</v>
      </c>
      <c r="CL87" s="27" t="e">
        <f t="shared" ca="1" si="364"/>
        <v>#VALUE!</v>
      </c>
      <c r="CM87" s="27" t="e">
        <f t="shared" ca="1" si="365"/>
        <v>#VALUE!</v>
      </c>
      <c r="CN87" s="45" t="e">
        <f t="shared" ca="1" si="366"/>
        <v>#VALUE!</v>
      </c>
    </row>
    <row r="88" spans="3:92" x14ac:dyDescent="0.25">
      <c r="C88" t="str">
        <f t="shared" si="367"/>
        <v>gr5</v>
      </c>
      <c r="D88" t="s">
        <v>117</v>
      </c>
      <c r="E88" t="s">
        <v>87</v>
      </c>
      <c r="G88" s="7">
        <f t="shared" si="368"/>
        <v>6</v>
      </c>
      <c r="H88" s="8">
        <f t="shared" si="369"/>
        <v>11</v>
      </c>
      <c r="I88" s="8">
        <f t="shared" si="370"/>
        <v>10.5</v>
      </c>
      <c r="J88" s="8">
        <f t="shared" si="371"/>
        <v>6.9499999999999993</v>
      </c>
      <c r="K88" s="8">
        <f t="shared" si="372"/>
        <v>4.26</v>
      </c>
      <c r="L88" s="8">
        <f t="shared" si="373"/>
        <v>5.51</v>
      </c>
      <c r="M88" s="8">
        <f t="shared" si="374"/>
        <v>11.08</v>
      </c>
      <c r="N88" s="8">
        <f t="shared" si="375"/>
        <v>5.3</v>
      </c>
      <c r="O88" s="9">
        <f t="shared" si="376"/>
        <v>14.120000000000001</v>
      </c>
      <c r="Q88" s="7">
        <f t="shared" ref="Q88:Y88" ca="1" si="392">RANDBETWEEN(0,Q115)/100-Q115/100/2</f>
        <v>-0.96</v>
      </c>
      <c r="R88" s="8">
        <f t="shared" ca="1" si="392"/>
        <v>-1.8599999999999999</v>
      </c>
      <c r="S88" s="8">
        <f t="shared" ca="1" si="392"/>
        <v>8.0000000000000016E-2</v>
      </c>
      <c r="T88" s="8">
        <f t="shared" ca="1" si="392"/>
        <v>4.0000000000000036E-2</v>
      </c>
      <c r="U88" s="8">
        <f t="shared" ca="1" si="392"/>
        <v>-7.0000000000000007E-2</v>
      </c>
      <c r="V88" s="8">
        <f t="shared" ca="1" si="392"/>
        <v>-7.0000000000000007E-2</v>
      </c>
      <c r="W88" s="8">
        <f t="shared" ca="1" si="392"/>
        <v>5.4999999999999993E-2</v>
      </c>
      <c r="X88" s="8">
        <f t="shared" ca="1" si="392"/>
        <v>0.06</v>
      </c>
      <c r="Y88" s="9">
        <f t="shared" ca="1" si="392"/>
        <v>2.0000000000000004E-2</v>
      </c>
      <c r="AA88" s="7">
        <f t="shared" ref="AA88:AI88" ca="1" si="393">RANDBETWEEN(0,AA115)/100-AA115/100/2</f>
        <v>-0.24</v>
      </c>
      <c r="AB88" s="8">
        <f t="shared" ca="1" si="393"/>
        <v>3.0000000000000027E-2</v>
      </c>
      <c r="AC88" s="8">
        <f t="shared" ca="1" si="393"/>
        <v>-0.13</v>
      </c>
      <c r="AD88" s="8">
        <f t="shared" ca="1" si="393"/>
        <v>-0.10999999999999999</v>
      </c>
      <c r="AE88" s="8">
        <f t="shared" ca="1" si="393"/>
        <v>-0.25</v>
      </c>
      <c r="AF88" s="8">
        <f t="shared" ca="1" si="393"/>
        <v>0.16999999999999998</v>
      </c>
      <c r="AG88" s="8">
        <f t="shared" ca="1" si="393"/>
        <v>-0.03</v>
      </c>
      <c r="AH88" s="8">
        <f t="shared" ca="1" si="393"/>
        <v>0.2</v>
      </c>
      <c r="AI88" s="9">
        <f t="shared" ca="1" si="393"/>
        <v>0.06</v>
      </c>
      <c r="AK88" s="7" t="s">
        <v>18</v>
      </c>
      <c r="AL88" s="8" t="s">
        <v>18</v>
      </c>
      <c r="AM88" s="8" t="s">
        <v>18</v>
      </c>
      <c r="AN88" s="8" t="s">
        <v>18</v>
      </c>
      <c r="AO88" s="8" t="s">
        <v>18</v>
      </c>
      <c r="AP88" s="8" t="s">
        <v>18</v>
      </c>
      <c r="AQ88" s="8" t="s">
        <v>18</v>
      </c>
      <c r="AR88" s="8" t="s">
        <v>18</v>
      </c>
      <c r="AS88" s="9" t="s">
        <v>18</v>
      </c>
      <c r="AU88" s="10" t="e">
        <f t="shared" ca="1" si="335"/>
        <v>#VALUE!</v>
      </c>
      <c r="AV88" s="6" t="e">
        <f t="shared" ca="1" si="336"/>
        <v>#VALUE!</v>
      </c>
      <c r="AW88" s="6" t="e">
        <f t="shared" ca="1" si="337"/>
        <v>#VALUE!</v>
      </c>
      <c r="AX88" s="6" t="e">
        <f t="shared" ca="1" si="338"/>
        <v>#VALUE!</v>
      </c>
      <c r="AY88" s="6" t="e">
        <f t="shared" ca="1" si="339"/>
        <v>#VALUE!</v>
      </c>
      <c r="AZ88" s="6" t="e">
        <f t="shared" ca="1" si="379"/>
        <v>#VALUE!</v>
      </c>
      <c r="BA88" s="6" t="e">
        <f t="shared" ca="1" si="340"/>
        <v>#VALUE!</v>
      </c>
      <c r="BB88" s="6" t="e">
        <f t="shared" ca="1" si="341"/>
        <v>#VALUE!</v>
      </c>
      <c r="BC88" s="11" t="e">
        <f t="shared" ca="1" si="342"/>
        <v>#VALUE!</v>
      </c>
      <c r="BD88" s="15" t="str">
        <f t="shared" si="36"/>
        <v>gr5</v>
      </c>
      <c r="BE88" s="24" t="e">
        <f t="shared" ca="1" si="130"/>
        <v>#VALUE!</v>
      </c>
      <c r="BF88" s="25" t="e">
        <f t="shared" ca="1" si="131"/>
        <v>#VALUE!</v>
      </c>
      <c r="BG88" s="25" t="e">
        <f t="shared" ca="1" si="132"/>
        <v>#VALUE!</v>
      </c>
      <c r="BH88" s="25" t="e">
        <f t="shared" ca="1" si="133"/>
        <v>#VALUE!</v>
      </c>
      <c r="BI88" s="25" t="e">
        <f t="shared" ca="1" si="134"/>
        <v>#VALUE!</v>
      </c>
      <c r="BJ88" s="25" t="e">
        <f t="shared" ca="1" si="135"/>
        <v>#VALUE!</v>
      </c>
      <c r="BK88" s="25" t="e">
        <f t="shared" ca="1" si="136"/>
        <v>#VALUE!</v>
      </c>
      <c r="BL88" s="25" t="e">
        <f t="shared" ca="1" si="137"/>
        <v>#VALUE!</v>
      </c>
      <c r="BM88" s="26" t="e">
        <f t="shared" ca="1" si="138"/>
        <v>#VALUE!</v>
      </c>
      <c r="BO88" s="44" t="str">
        <f t="shared" si="343"/>
        <v>gr5</v>
      </c>
      <c r="BP88" s="40" t="str">
        <f t="shared" si="344"/>
        <v>5bios3</v>
      </c>
      <c r="BQ88" s="40" t="str">
        <f t="shared" si="345"/>
        <v>tech57</v>
      </c>
      <c r="BR88" s="27" t="e">
        <f t="shared" ca="1" si="346"/>
        <v>#VALUE!</v>
      </c>
      <c r="BS88" s="27" t="e">
        <f t="shared" ca="1" si="347"/>
        <v>#VALUE!</v>
      </c>
      <c r="BT88" s="27" t="e">
        <f t="shared" ca="1" si="348"/>
        <v>#VALUE!</v>
      </c>
      <c r="BU88" s="27" t="e">
        <f t="shared" ca="1" si="349"/>
        <v>#VALUE!</v>
      </c>
      <c r="BV88" s="27" t="e">
        <f t="shared" ca="1" si="350"/>
        <v>#VALUE!</v>
      </c>
      <c r="BW88" s="27" t="e">
        <f t="shared" ca="1" si="351"/>
        <v>#VALUE!</v>
      </c>
      <c r="BX88" s="27" t="e">
        <f t="shared" ca="1" si="352"/>
        <v>#VALUE!</v>
      </c>
      <c r="BY88" s="27" t="e">
        <f t="shared" ca="1" si="353"/>
        <v>#VALUE!</v>
      </c>
      <c r="BZ88" s="45" t="e">
        <f t="shared" ca="1" si="354"/>
        <v>#VALUE!</v>
      </c>
      <c r="CC88" s="53" t="str">
        <f t="shared" si="355"/>
        <v>gr5</v>
      </c>
      <c r="CD88" s="54" t="str">
        <f t="shared" si="356"/>
        <v>5bios3</v>
      </c>
      <c r="CE88" s="54" t="str">
        <f t="shared" si="357"/>
        <v>tech57</v>
      </c>
      <c r="CF88" s="27" t="e">
        <f t="shared" ca="1" si="358"/>
        <v>#VALUE!</v>
      </c>
      <c r="CG88" s="27" t="e">
        <f t="shared" ca="1" si="359"/>
        <v>#VALUE!</v>
      </c>
      <c r="CH88" s="27" t="e">
        <f t="shared" ca="1" si="360"/>
        <v>#VALUE!</v>
      </c>
      <c r="CI88" s="27" t="e">
        <f t="shared" ca="1" si="361"/>
        <v>#VALUE!</v>
      </c>
      <c r="CJ88" s="27" t="e">
        <f t="shared" ca="1" si="362"/>
        <v>#VALUE!</v>
      </c>
      <c r="CK88" s="27" t="e">
        <f t="shared" ca="1" si="363"/>
        <v>#VALUE!</v>
      </c>
      <c r="CL88" s="27" t="e">
        <f t="shared" ca="1" si="364"/>
        <v>#VALUE!</v>
      </c>
      <c r="CM88" s="27" t="e">
        <f t="shared" ca="1" si="365"/>
        <v>#VALUE!</v>
      </c>
      <c r="CN88" s="45" t="e">
        <f t="shared" ca="1" si="366"/>
        <v>#VALUE!</v>
      </c>
    </row>
    <row r="89" spans="3:92" x14ac:dyDescent="0.25">
      <c r="C89" t="str">
        <f t="shared" si="367"/>
        <v>gr5</v>
      </c>
      <c r="D89" t="s">
        <v>117</v>
      </c>
      <c r="E89" t="s">
        <v>88</v>
      </c>
      <c r="G89" s="10">
        <f t="shared" si="368"/>
        <v>6</v>
      </c>
      <c r="H89" s="6">
        <f t="shared" si="369"/>
        <v>11</v>
      </c>
      <c r="I89" s="6">
        <f t="shared" si="370"/>
        <v>10.5</v>
      </c>
      <c r="J89" s="6">
        <f t="shared" si="371"/>
        <v>6.9499999999999993</v>
      </c>
      <c r="K89" s="6">
        <f t="shared" si="372"/>
        <v>4.26</v>
      </c>
      <c r="L89" s="6">
        <f t="shared" si="373"/>
        <v>5.51</v>
      </c>
      <c r="M89" s="6">
        <f t="shared" si="374"/>
        <v>11.08</v>
      </c>
      <c r="N89" s="6">
        <f t="shared" si="375"/>
        <v>5.3</v>
      </c>
      <c r="O89" s="11">
        <f t="shared" si="376"/>
        <v>14.120000000000001</v>
      </c>
      <c r="Q89" s="10">
        <f t="shared" ref="Q89:Y89" ca="1" si="394">Q88</f>
        <v>-0.96</v>
      </c>
      <c r="R89" s="6">
        <f t="shared" ca="1" si="394"/>
        <v>-1.8599999999999999</v>
      </c>
      <c r="S89" s="6">
        <f t="shared" ca="1" si="394"/>
        <v>8.0000000000000016E-2</v>
      </c>
      <c r="T89" s="6">
        <f t="shared" ca="1" si="394"/>
        <v>4.0000000000000036E-2</v>
      </c>
      <c r="U89" s="6">
        <f t="shared" ca="1" si="394"/>
        <v>-7.0000000000000007E-2</v>
      </c>
      <c r="V89" s="6">
        <f t="shared" ca="1" si="394"/>
        <v>-7.0000000000000007E-2</v>
      </c>
      <c r="W89" s="6">
        <f t="shared" ca="1" si="394"/>
        <v>5.4999999999999993E-2</v>
      </c>
      <c r="X89" s="6">
        <f t="shared" ca="1" si="394"/>
        <v>0.06</v>
      </c>
      <c r="Y89" s="11">
        <f t="shared" ca="1" si="394"/>
        <v>2.0000000000000004E-2</v>
      </c>
      <c r="AA89" s="10">
        <f t="shared" ref="AA89:AI89" ca="1" si="395">RANDBETWEEN(0,AA115)/100-AA115/100/2</f>
        <v>-0.19</v>
      </c>
      <c r="AB89" s="6">
        <f t="shared" ca="1" si="395"/>
        <v>0.13</v>
      </c>
      <c r="AC89" s="6">
        <f t="shared" ca="1" si="395"/>
        <v>0.2</v>
      </c>
      <c r="AD89" s="6">
        <f t="shared" ca="1" si="395"/>
        <v>-0.1</v>
      </c>
      <c r="AE89" s="6">
        <f t="shared" ca="1" si="395"/>
        <v>0.21000000000000002</v>
      </c>
      <c r="AF89" s="6">
        <f t="shared" ca="1" si="395"/>
        <v>7.0000000000000007E-2</v>
      </c>
      <c r="AG89" s="6">
        <f t="shared" ca="1" si="395"/>
        <v>-0.06</v>
      </c>
      <c r="AH89" s="6">
        <f t="shared" ca="1" si="395"/>
        <v>0.15000000000000002</v>
      </c>
      <c r="AI89" s="11">
        <f t="shared" ca="1" si="395"/>
        <v>-0.16999999999999998</v>
      </c>
      <c r="AK89" s="10" t="s">
        <v>18</v>
      </c>
      <c r="AL89" s="6" t="s">
        <v>18</v>
      </c>
      <c r="AM89" s="6" t="s">
        <v>18</v>
      </c>
      <c r="AN89" s="6" t="s">
        <v>18</v>
      </c>
      <c r="AO89" s="6" t="s">
        <v>18</v>
      </c>
      <c r="AP89" s="6" t="s">
        <v>18</v>
      </c>
      <c r="AQ89" s="6" t="s">
        <v>18</v>
      </c>
      <c r="AR89" s="6" t="s">
        <v>18</v>
      </c>
      <c r="AS89" s="11" t="s">
        <v>18</v>
      </c>
      <c r="AU89" s="10" t="e">
        <f t="shared" ca="1" si="335"/>
        <v>#VALUE!</v>
      </c>
      <c r="AV89" s="6" t="e">
        <f t="shared" ca="1" si="336"/>
        <v>#VALUE!</v>
      </c>
      <c r="AW89" s="6" t="e">
        <f t="shared" ca="1" si="337"/>
        <v>#VALUE!</v>
      </c>
      <c r="AX89" s="6" t="e">
        <f t="shared" ca="1" si="338"/>
        <v>#VALUE!</v>
      </c>
      <c r="AY89" s="6" t="e">
        <f t="shared" ca="1" si="339"/>
        <v>#VALUE!</v>
      </c>
      <c r="AZ89" s="6" t="e">
        <f t="shared" ca="1" si="379"/>
        <v>#VALUE!</v>
      </c>
      <c r="BA89" s="6" t="e">
        <f t="shared" ca="1" si="340"/>
        <v>#VALUE!</v>
      </c>
      <c r="BB89" s="6" t="e">
        <f t="shared" ca="1" si="341"/>
        <v>#VALUE!</v>
      </c>
      <c r="BC89" s="11" t="e">
        <f t="shared" ca="1" si="342"/>
        <v>#VALUE!</v>
      </c>
      <c r="BD89" s="15" t="str">
        <f t="shared" si="36"/>
        <v>gr5</v>
      </c>
      <c r="BE89" s="27" t="e">
        <f t="shared" ca="1" si="130"/>
        <v>#VALUE!</v>
      </c>
      <c r="BF89" s="28" t="e">
        <f t="shared" ca="1" si="131"/>
        <v>#VALUE!</v>
      </c>
      <c r="BG89" s="28" t="e">
        <f t="shared" ca="1" si="132"/>
        <v>#VALUE!</v>
      </c>
      <c r="BH89" s="28" t="e">
        <f t="shared" ca="1" si="133"/>
        <v>#VALUE!</v>
      </c>
      <c r="BI89" s="28" t="e">
        <f t="shared" ca="1" si="134"/>
        <v>#VALUE!</v>
      </c>
      <c r="BJ89" s="28" t="e">
        <f t="shared" ca="1" si="135"/>
        <v>#VALUE!</v>
      </c>
      <c r="BK89" s="28" t="e">
        <f t="shared" ca="1" si="136"/>
        <v>#VALUE!</v>
      </c>
      <c r="BL89" s="28" t="e">
        <f t="shared" ca="1" si="137"/>
        <v>#VALUE!</v>
      </c>
      <c r="BM89" s="29" t="e">
        <f t="shared" ca="1" si="138"/>
        <v>#VALUE!</v>
      </c>
      <c r="BO89" s="44" t="str">
        <f t="shared" si="343"/>
        <v>gr5</v>
      </c>
      <c r="BP89" s="40" t="str">
        <f t="shared" si="344"/>
        <v>5bios3</v>
      </c>
      <c r="BQ89" s="40" t="str">
        <f t="shared" si="345"/>
        <v>tech58</v>
      </c>
      <c r="BR89" s="27" t="e">
        <f t="shared" ca="1" si="346"/>
        <v>#VALUE!</v>
      </c>
      <c r="BS89" s="27" t="e">
        <f t="shared" ca="1" si="347"/>
        <v>#VALUE!</v>
      </c>
      <c r="BT89" s="27" t="e">
        <f t="shared" ca="1" si="348"/>
        <v>#VALUE!</v>
      </c>
      <c r="BU89" s="27" t="e">
        <f t="shared" ca="1" si="349"/>
        <v>#VALUE!</v>
      </c>
      <c r="BV89" s="27" t="e">
        <f t="shared" ca="1" si="350"/>
        <v>#VALUE!</v>
      </c>
      <c r="BW89" s="27" t="e">
        <f t="shared" ca="1" si="351"/>
        <v>#VALUE!</v>
      </c>
      <c r="BX89" s="27" t="e">
        <f t="shared" ca="1" si="352"/>
        <v>#VALUE!</v>
      </c>
      <c r="BY89" s="27" t="e">
        <f t="shared" ca="1" si="353"/>
        <v>#VALUE!</v>
      </c>
      <c r="BZ89" s="45" t="e">
        <f t="shared" ca="1" si="354"/>
        <v>#VALUE!</v>
      </c>
      <c r="CC89" s="53" t="str">
        <f t="shared" si="355"/>
        <v>gr5</v>
      </c>
      <c r="CD89" s="54" t="str">
        <f t="shared" si="356"/>
        <v>5bios3</v>
      </c>
      <c r="CE89" s="54" t="str">
        <f t="shared" si="357"/>
        <v>tech58</v>
      </c>
      <c r="CF89" s="27" t="e">
        <f t="shared" ca="1" si="358"/>
        <v>#VALUE!</v>
      </c>
      <c r="CG89" s="27" t="e">
        <f t="shared" ca="1" si="359"/>
        <v>#VALUE!</v>
      </c>
      <c r="CH89" s="27" t="e">
        <f t="shared" ca="1" si="360"/>
        <v>#VALUE!</v>
      </c>
      <c r="CI89" s="27" t="e">
        <f t="shared" ca="1" si="361"/>
        <v>#VALUE!</v>
      </c>
      <c r="CJ89" s="27" t="e">
        <f t="shared" ca="1" si="362"/>
        <v>#VALUE!</v>
      </c>
      <c r="CK89" s="27" t="e">
        <f t="shared" ca="1" si="363"/>
        <v>#VALUE!</v>
      </c>
      <c r="CL89" s="27" t="e">
        <f t="shared" ca="1" si="364"/>
        <v>#VALUE!</v>
      </c>
      <c r="CM89" s="27" t="e">
        <f t="shared" ca="1" si="365"/>
        <v>#VALUE!</v>
      </c>
      <c r="CN89" s="45" t="e">
        <f t="shared" ca="1" si="366"/>
        <v>#VALUE!</v>
      </c>
    </row>
    <row r="90" spans="3:92" x14ac:dyDescent="0.25">
      <c r="C90" t="str">
        <f t="shared" si="367"/>
        <v>gr5</v>
      </c>
      <c r="D90" t="s">
        <v>117</v>
      </c>
      <c r="E90" t="s">
        <v>89</v>
      </c>
      <c r="G90" s="10">
        <f t="shared" si="368"/>
        <v>6</v>
      </c>
      <c r="H90" s="6">
        <f t="shared" si="369"/>
        <v>11</v>
      </c>
      <c r="I90" s="6">
        <f t="shared" si="370"/>
        <v>10.5</v>
      </c>
      <c r="J90" s="6">
        <f t="shared" si="371"/>
        <v>6.9499999999999993</v>
      </c>
      <c r="K90" s="6">
        <f t="shared" si="372"/>
        <v>4.26</v>
      </c>
      <c r="L90" s="6">
        <f t="shared" si="373"/>
        <v>5.51</v>
      </c>
      <c r="M90" s="6">
        <f t="shared" si="374"/>
        <v>11.08</v>
      </c>
      <c r="N90" s="6">
        <f t="shared" si="375"/>
        <v>5.3</v>
      </c>
      <c r="O90" s="11">
        <f t="shared" si="376"/>
        <v>14.120000000000001</v>
      </c>
      <c r="Q90" s="10">
        <f t="shared" ref="Q90:Y90" ca="1" si="396">Q89</f>
        <v>-0.96</v>
      </c>
      <c r="R90" s="6">
        <f t="shared" ca="1" si="396"/>
        <v>-1.8599999999999999</v>
      </c>
      <c r="S90" s="6">
        <f t="shared" ca="1" si="396"/>
        <v>8.0000000000000016E-2</v>
      </c>
      <c r="T90" s="6">
        <f t="shared" ca="1" si="396"/>
        <v>4.0000000000000036E-2</v>
      </c>
      <c r="U90" s="6">
        <f t="shared" ca="1" si="396"/>
        <v>-7.0000000000000007E-2</v>
      </c>
      <c r="V90" s="6">
        <f t="shared" ca="1" si="396"/>
        <v>-7.0000000000000007E-2</v>
      </c>
      <c r="W90" s="6">
        <f t="shared" ca="1" si="396"/>
        <v>5.4999999999999993E-2</v>
      </c>
      <c r="X90" s="6">
        <f t="shared" ca="1" si="396"/>
        <v>0.06</v>
      </c>
      <c r="Y90" s="11">
        <f t="shared" ca="1" si="396"/>
        <v>2.0000000000000004E-2</v>
      </c>
      <c r="AA90" s="10">
        <f t="shared" ref="AA90:AI90" ca="1" si="397">RANDBETWEEN(0,AA115)/100-AA115/100/2</f>
        <v>0.2</v>
      </c>
      <c r="AB90" s="6">
        <f t="shared" ca="1" si="397"/>
        <v>3.0000000000000027E-2</v>
      </c>
      <c r="AC90" s="6">
        <f t="shared" ca="1" si="397"/>
        <v>0.2</v>
      </c>
      <c r="AD90" s="6">
        <f t="shared" ca="1" si="397"/>
        <v>-1.0000000000000009E-2</v>
      </c>
      <c r="AE90" s="6">
        <f t="shared" ca="1" si="397"/>
        <v>0.18</v>
      </c>
      <c r="AF90" s="6">
        <f t="shared" ca="1" si="397"/>
        <v>0.14000000000000001</v>
      </c>
      <c r="AG90" s="6">
        <f t="shared" ca="1" si="397"/>
        <v>-0.2</v>
      </c>
      <c r="AH90" s="6">
        <f t="shared" ca="1" si="397"/>
        <v>-7.0000000000000007E-2</v>
      </c>
      <c r="AI90" s="11">
        <f t="shared" ca="1" si="397"/>
        <v>-0.03</v>
      </c>
      <c r="AK90" s="10" t="s">
        <v>18</v>
      </c>
      <c r="AL90" s="6" t="s">
        <v>18</v>
      </c>
      <c r="AM90" s="6" t="s">
        <v>18</v>
      </c>
      <c r="AN90" s="6" t="s">
        <v>18</v>
      </c>
      <c r="AO90" s="6" t="s">
        <v>18</v>
      </c>
      <c r="AP90" s="6" t="s">
        <v>18</v>
      </c>
      <c r="AQ90" s="6" t="s">
        <v>18</v>
      </c>
      <c r="AR90" s="6" t="s">
        <v>18</v>
      </c>
      <c r="AS90" s="11" t="s">
        <v>18</v>
      </c>
      <c r="AU90" s="10" t="e">
        <f t="shared" ca="1" si="335"/>
        <v>#VALUE!</v>
      </c>
      <c r="AV90" s="6" t="e">
        <f t="shared" ca="1" si="336"/>
        <v>#VALUE!</v>
      </c>
      <c r="AW90" s="6" t="e">
        <f t="shared" ca="1" si="337"/>
        <v>#VALUE!</v>
      </c>
      <c r="AX90" s="6" t="e">
        <f t="shared" ca="1" si="338"/>
        <v>#VALUE!</v>
      </c>
      <c r="AY90" s="6" t="e">
        <f t="shared" ca="1" si="339"/>
        <v>#VALUE!</v>
      </c>
      <c r="AZ90" s="6" t="e">
        <f t="shared" ca="1" si="379"/>
        <v>#VALUE!</v>
      </c>
      <c r="BA90" s="6" t="e">
        <f t="shared" ca="1" si="340"/>
        <v>#VALUE!</v>
      </c>
      <c r="BB90" s="6" t="e">
        <f t="shared" ca="1" si="341"/>
        <v>#VALUE!</v>
      </c>
      <c r="BC90" s="11" t="e">
        <f t="shared" ca="1" si="342"/>
        <v>#VALUE!</v>
      </c>
      <c r="BD90" s="15" t="str">
        <f t="shared" si="36"/>
        <v>gr5</v>
      </c>
      <c r="BE90" s="27" t="e">
        <f t="shared" ca="1" si="130"/>
        <v>#VALUE!</v>
      </c>
      <c r="BF90" s="28" t="e">
        <f t="shared" ca="1" si="131"/>
        <v>#VALUE!</v>
      </c>
      <c r="BG90" s="28" t="e">
        <f t="shared" ca="1" si="132"/>
        <v>#VALUE!</v>
      </c>
      <c r="BH90" s="28" t="e">
        <f t="shared" ca="1" si="133"/>
        <v>#VALUE!</v>
      </c>
      <c r="BI90" s="28" t="e">
        <f t="shared" ca="1" si="134"/>
        <v>#VALUE!</v>
      </c>
      <c r="BJ90" s="28" t="e">
        <f t="shared" ca="1" si="135"/>
        <v>#VALUE!</v>
      </c>
      <c r="BK90" s="28" t="e">
        <f t="shared" ca="1" si="136"/>
        <v>#VALUE!</v>
      </c>
      <c r="BL90" s="28" t="e">
        <f t="shared" ca="1" si="137"/>
        <v>#VALUE!</v>
      </c>
      <c r="BM90" s="29" t="e">
        <f t="shared" ca="1" si="138"/>
        <v>#VALUE!</v>
      </c>
      <c r="BO90" s="44" t="str">
        <f t="shared" si="343"/>
        <v>gr5</v>
      </c>
      <c r="BP90" s="40" t="str">
        <f t="shared" si="344"/>
        <v>5bios3</v>
      </c>
      <c r="BQ90" s="40" t="str">
        <f t="shared" si="345"/>
        <v>tech59</v>
      </c>
      <c r="BR90" s="27" t="e">
        <f t="shared" ca="1" si="346"/>
        <v>#VALUE!</v>
      </c>
      <c r="BS90" s="27" t="e">
        <f t="shared" ca="1" si="347"/>
        <v>#VALUE!</v>
      </c>
      <c r="BT90" s="27" t="e">
        <f t="shared" ca="1" si="348"/>
        <v>#VALUE!</v>
      </c>
      <c r="BU90" s="27" t="e">
        <f t="shared" ca="1" si="349"/>
        <v>#VALUE!</v>
      </c>
      <c r="BV90" s="27" t="e">
        <f t="shared" ca="1" si="350"/>
        <v>#VALUE!</v>
      </c>
      <c r="BW90" s="27" t="e">
        <f t="shared" ca="1" si="351"/>
        <v>#VALUE!</v>
      </c>
      <c r="BX90" s="27" t="e">
        <f t="shared" ca="1" si="352"/>
        <v>#VALUE!</v>
      </c>
      <c r="BY90" s="27" t="e">
        <f t="shared" ca="1" si="353"/>
        <v>#VALUE!</v>
      </c>
      <c r="BZ90" s="45" t="e">
        <f t="shared" ca="1" si="354"/>
        <v>#VALUE!</v>
      </c>
      <c r="CC90" s="53" t="str">
        <f t="shared" si="355"/>
        <v>gr5</v>
      </c>
      <c r="CD90" s="54" t="str">
        <f t="shared" si="356"/>
        <v>5bios3</v>
      </c>
      <c r="CE90" s="54" t="str">
        <f t="shared" si="357"/>
        <v>tech59</v>
      </c>
      <c r="CF90" s="27" t="e">
        <f t="shared" ca="1" si="358"/>
        <v>#VALUE!</v>
      </c>
      <c r="CG90" s="27" t="e">
        <f t="shared" ca="1" si="359"/>
        <v>#VALUE!</v>
      </c>
      <c r="CH90" s="27" t="e">
        <f t="shared" ca="1" si="360"/>
        <v>#VALUE!</v>
      </c>
      <c r="CI90" s="27" t="e">
        <f t="shared" ca="1" si="361"/>
        <v>#VALUE!</v>
      </c>
      <c r="CJ90" s="27" t="e">
        <f t="shared" ca="1" si="362"/>
        <v>#VALUE!</v>
      </c>
      <c r="CK90" s="27" t="e">
        <f t="shared" ca="1" si="363"/>
        <v>#VALUE!</v>
      </c>
      <c r="CL90" s="27" t="e">
        <f t="shared" ca="1" si="364"/>
        <v>#VALUE!</v>
      </c>
      <c r="CM90" s="27" t="e">
        <f t="shared" ca="1" si="365"/>
        <v>#VALUE!</v>
      </c>
      <c r="CN90" s="45" t="e">
        <f t="shared" ca="1" si="366"/>
        <v>#VALUE!</v>
      </c>
    </row>
    <row r="91" spans="3:92" x14ac:dyDescent="0.25">
      <c r="C91" t="str">
        <f t="shared" si="367"/>
        <v>gr5</v>
      </c>
      <c r="D91" t="s">
        <v>117</v>
      </c>
      <c r="E91" t="s">
        <v>90</v>
      </c>
      <c r="G91" s="12">
        <f t="shared" si="368"/>
        <v>6</v>
      </c>
      <c r="H91" s="13">
        <f t="shared" si="369"/>
        <v>11</v>
      </c>
      <c r="I91" s="13">
        <f t="shared" si="370"/>
        <v>10.5</v>
      </c>
      <c r="J91" s="13">
        <f t="shared" si="371"/>
        <v>6.9499999999999993</v>
      </c>
      <c r="K91" s="13">
        <f t="shared" si="372"/>
        <v>4.26</v>
      </c>
      <c r="L91" s="13">
        <f t="shared" si="373"/>
        <v>5.51</v>
      </c>
      <c r="M91" s="13">
        <f t="shared" si="374"/>
        <v>11.08</v>
      </c>
      <c r="N91" s="13">
        <f t="shared" si="375"/>
        <v>5.3</v>
      </c>
      <c r="O91" s="14">
        <f t="shared" si="376"/>
        <v>14.120000000000001</v>
      </c>
      <c r="Q91" s="12">
        <f t="shared" ref="Q91:Y91" ca="1" si="398">Q90</f>
        <v>-0.96</v>
      </c>
      <c r="R91" s="13">
        <f t="shared" ca="1" si="398"/>
        <v>-1.8599999999999999</v>
      </c>
      <c r="S91" s="13">
        <f t="shared" ca="1" si="398"/>
        <v>8.0000000000000016E-2</v>
      </c>
      <c r="T91" s="13">
        <f t="shared" ca="1" si="398"/>
        <v>4.0000000000000036E-2</v>
      </c>
      <c r="U91" s="13">
        <f t="shared" ca="1" si="398"/>
        <v>-7.0000000000000007E-2</v>
      </c>
      <c r="V91" s="13">
        <f t="shared" ca="1" si="398"/>
        <v>-7.0000000000000007E-2</v>
      </c>
      <c r="W91" s="13">
        <f t="shared" ca="1" si="398"/>
        <v>5.4999999999999993E-2</v>
      </c>
      <c r="X91" s="13">
        <f t="shared" ca="1" si="398"/>
        <v>0.06</v>
      </c>
      <c r="Y91" s="14">
        <f t="shared" ca="1" si="398"/>
        <v>2.0000000000000004E-2</v>
      </c>
      <c r="AA91" s="12">
        <f t="shared" ref="AA91:AI91" ca="1" si="399">RANDBETWEEN(0,AA115)/100-AA115/100/2</f>
        <v>0.10999999999999999</v>
      </c>
      <c r="AB91" s="13">
        <f t="shared" ca="1" si="399"/>
        <v>-0.22</v>
      </c>
      <c r="AC91" s="13">
        <f t="shared" ca="1" si="399"/>
        <v>-0.25</v>
      </c>
      <c r="AD91" s="13">
        <f t="shared" ca="1" si="399"/>
        <v>-0.06</v>
      </c>
      <c r="AE91" s="13">
        <f t="shared" ca="1" si="399"/>
        <v>0.18</v>
      </c>
      <c r="AF91" s="13">
        <f t="shared" ca="1" si="399"/>
        <v>0.10999999999999999</v>
      </c>
      <c r="AG91" s="13">
        <f t="shared" ca="1" si="399"/>
        <v>0.24</v>
      </c>
      <c r="AH91" s="13">
        <f t="shared" ca="1" si="399"/>
        <v>7.0000000000000007E-2</v>
      </c>
      <c r="AI91" s="14">
        <f t="shared" ca="1" si="399"/>
        <v>7.0000000000000007E-2</v>
      </c>
      <c r="AK91" s="12" t="s">
        <v>18</v>
      </c>
      <c r="AL91" s="13" t="s">
        <v>18</v>
      </c>
      <c r="AM91" s="13" t="s">
        <v>18</v>
      </c>
      <c r="AN91" s="13" t="s">
        <v>18</v>
      </c>
      <c r="AO91" s="13" t="s">
        <v>18</v>
      </c>
      <c r="AP91" s="13" t="s">
        <v>18</v>
      </c>
      <c r="AQ91" s="13" t="s">
        <v>18</v>
      </c>
      <c r="AR91" s="13" t="s">
        <v>18</v>
      </c>
      <c r="AS91" s="14" t="s">
        <v>18</v>
      </c>
      <c r="AU91" s="12" t="e">
        <f t="shared" ca="1" si="335"/>
        <v>#VALUE!</v>
      </c>
      <c r="AV91" s="13" t="e">
        <f t="shared" ca="1" si="336"/>
        <v>#VALUE!</v>
      </c>
      <c r="AW91" s="13" t="e">
        <f t="shared" ca="1" si="337"/>
        <v>#VALUE!</v>
      </c>
      <c r="AX91" s="13" t="e">
        <f t="shared" ca="1" si="338"/>
        <v>#VALUE!</v>
      </c>
      <c r="AY91" s="13" t="e">
        <f t="shared" ca="1" si="339"/>
        <v>#VALUE!</v>
      </c>
      <c r="AZ91" s="13" t="e">
        <f t="shared" ca="1" si="379"/>
        <v>#VALUE!</v>
      </c>
      <c r="BA91" s="13" t="e">
        <f t="shared" ca="1" si="340"/>
        <v>#VALUE!</v>
      </c>
      <c r="BB91" s="13" t="e">
        <f t="shared" ca="1" si="341"/>
        <v>#VALUE!</v>
      </c>
      <c r="BC91" s="14" t="e">
        <f t="shared" ca="1" si="342"/>
        <v>#VALUE!</v>
      </c>
      <c r="BD91" s="15" t="str">
        <f t="shared" si="36"/>
        <v>gr5</v>
      </c>
      <c r="BE91" s="30" t="e">
        <f t="shared" ca="1" si="130"/>
        <v>#VALUE!</v>
      </c>
      <c r="BF91" s="31" t="e">
        <f t="shared" ca="1" si="131"/>
        <v>#VALUE!</v>
      </c>
      <c r="BG91" s="31" t="e">
        <f t="shared" ca="1" si="132"/>
        <v>#VALUE!</v>
      </c>
      <c r="BH91" s="31" t="e">
        <f t="shared" ca="1" si="133"/>
        <v>#VALUE!</v>
      </c>
      <c r="BI91" s="31" t="e">
        <f t="shared" ca="1" si="134"/>
        <v>#VALUE!</v>
      </c>
      <c r="BJ91" s="31" t="e">
        <f t="shared" ca="1" si="135"/>
        <v>#VALUE!</v>
      </c>
      <c r="BK91" s="31" t="e">
        <f t="shared" ca="1" si="136"/>
        <v>#VALUE!</v>
      </c>
      <c r="BL91" s="31" t="e">
        <f t="shared" ca="1" si="137"/>
        <v>#VALUE!</v>
      </c>
      <c r="BM91" s="32" t="e">
        <f t="shared" ca="1" si="138"/>
        <v>#VALUE!</v>
      </c>
      <c r="BO91" s="44" t="str">
        <f t="shared" si="343"/>
        <v>gr5</v>
      </c>
      <c r="BP91" s="40" t="str">
        <f t="shared" si="344"/>
        <v>5bios3</v>
      </c>
      <c r="BQ91" s="40" t="str">
        <f t="shared" si="345"/>
        <v>tech60</v>
      </c>
      <c r="BR91" s="27" t="e">
        <f t="shared" ca="1" si="346"/>
        <v>#VALUE!</v>
      </c>
      <c r="BS91" s="27" t="e">
        <f t="shared" ca="1" si="347"/>
        <v>#VALUE!</v>
      </c>
      <c r="BT91" s="27" t="e">
        <f t="shared" ca="1" si="348"/>
        <v>#VALUE!</v>
      </c>
      <c r="BU91" s="27" t="e">
        <f t="shared" ca="1" si="349"/>
        <v>#VALUE!</v>
      </c>
      <c r="BV91" s="27" t="e">
        <f t="shared" ca="1" si="350"/>
        <v>#VALUE!</v>
      </c>
      <c r="BW91" s="27" t="e">
        <f t="shared" ca="1" si="351"/>
        <v>#VALUE!</v>
      </c>
      <c r="BX91" s="27" t="e">
        <f t="shared" ca="1" si="352"/>
        <v>#VALUE!</v>
      </c>
      <c r="BY91" s="27" t="e">
        <f t="shared" ca="1" si="353"/>
        <v>#VALUE!</v>
      </c>
      <c r="BZ91" s="45" t="e">
        <f t="shared" ca="1" si="354"/>
        <v>#VALUE!</v>
      </c>
      <c r="CC91" s="53" t="str">
        <f t="shared" si="355"/>
        <v>gr5</v>
      </c>
      <c r="CD91" s="54" t="str">
        <f t="shared" si="356"/>
        <v>5bios3</v>
      </c>
      <c r="CE91" s="54" t="str">
        <f t="shared" si="357"/>
        <v>tech60</v>
      </c>
      <c r="CF91" s="27" t="e">
        <f t="shared" ca="1" si="358"/>
        <v>#VALUE!</v>
      </c>
      <c r="CG91" s="27" t="e">
        <f t="shared" ca="1" si="359"/>
        <v>#VALUE!</v>
      </c>
      <c r="CH91" s="27" t="e">
        <f t="shared" ca="1" si="360"/>
        <v>#VALUE!</v>
      </c>
      <c r="CI91" s="27" t="e">
        <f t="shared" ca="1" si="361"/>
        <v>#VALUE!</v>
      </c>
      <c r="CJ91" s="27" t="e">
        <f t="shared" ca="1" si="362"/>
        <v>#VALUE!</v>
      </c>
      <c r="CK91" s="27" t="e">
        <f t="shared" ca="1" si="363"/>
        <v>#VALUE!</v>
      </c>
      <c r="CL91" s="27" t="e">
        <f t="shared" ca="1" si="364"/>
        <v>#VALUE!</v>
      </c>
      <c r="CM91" s="27" t="e">
        <f t="shared" ca="1" si="365"/>
        <v>#VALUE!</v>
      </c>
      <c r="CN91" s="45" t="e">
        <f t="shared" ca="1" si="366"/>
        <v>#VALUE!</v>
      </c>
    </row>
    <row r="92" spans="3:92" x14ac:dyDescent="0.25">
      <c r="BD92" s="15"/>
      <c r="BO92" s="44"/>
      <c r="BP92" s="40"/>
      <c r="BQ92" s="40"/>
      <c r="BR92" s="27"/>
      <c r="BS92" s="27"/>
      <c r="BT92" s="27"/>
      <c r="BU92" s="27"/>
      <c r="BV92" s="27"/>
      <c r="BW92" s="27"/>
      <c r="BX92" s="27"/>
      <c r="BY92" s="27"/>
      <c r="BZ92" s="45"/>
      <c r="CC92" s="53"/>
      <c r="CD92" s="54"/>
      <c r="CE92" s="54"/>
      <c r="CF92" s="27"/>
      <c r="CG92" s="27"/>
      <c r="CH92" s="27"/>
      <c r="CI92" s="27"/>
      <c r="CJ92" s="27"/>
      <c r="CK92" s="27"/>
      <c r="CL92" s="27"/>
      <c r="CM92" s="27"/>
      <c r="CN92" s="45"/>
    </row>
    <row r="93" spans="3:92" x14ac:dyDescent="0.25">
      <c r="C93" t="str">
        <f>F$12</f>
        <v>gr6</v>
      </c>
      <c r="D93" t="s">
        <v>118</v>
      </c>
      <c r="E93" t="s">
        <v>91</v>
      </c>
      <c r="G93" s="7">
        <f>G21</f>
        <v>12.5</v>
      </c>
      <c r="H93" s="8">
        <f t="shared" ref="H93:O93" si="400">H21</f>
        <v>18</v>
      </c>
      <c r="I93" s="8">
        <f t="shared" si="400"/>
        <v>24</v>
      </c>
      <c r="J93" s="8">
        <f t="shared" si="400"/>
        <v>20.079999999999998</v>
      </c>
      <c r="K93" s="8">
        <f t="shared" si="400"/>
        <v>17.7</v>
      </c>
      <c r="L93" s="8">
        <f t="shared" si="400"/>
        <v>19.600000000000001</v>
      </c>
      <c r="M93" s="8">
        <f t="shared" si="400"/>
        <v>13.12</v>
      </c>
      <c r="N93" s="8">
        <f t="shared" si="400"/>
        <v>7.04</v>
      </c>
      <c r="O93" s="9">
        <f t="shared" si="400"/>
        <v>13.2</v>
      </c>
      <c r="Q93" s="7">
        <f t="shared" ref="Q93:Y93" ca="1" si="401">RANDBETWEEN(0,Q116)/100-Q116/100/2</f>
        <v>7.0000000000000007E-2</v>
      </c>
      <c r="R93" s="8">
        <f t="shared" ca="1" si="401"/>
        <v>0.53</v>
      </c>
      <c r="S93" s="8">
        <f t="shared" ca="1" si="401"/>
        <v>9.9999999999999811E-3</v>
      </c>
      <c r="T93" s="8">
        <f t="shared" ca="1" si="401"/>
        <v>5.0000000000000017E-2</v>
      </c>
      <c r="U93" s="8">
        <f t="shared" ca="1" si="401"/>
        <v>-4.0000000000000008E-2</v>
      </c>
      <c r="V93" s="8">
        <f t="shared" ca="1" si="401"/>
        <v>0.09</v>
      </c>
      <c r="W93" s="8">
        <f t="shared" ca="1" si="401"/>
        <v>9.999999999999995E-3</v>
      </c>
      <c r="X93" s="8">
        <f t="shared" ca="1" si="401"/>
        <v>-0.11000000000000001</v>
      </c>
      <c r="Y93" s="9">
        <f t="shared" ca="1" si="401"/>
        <v>0.23499999999999999</v>
      </c>
      <c r="Z93" s="10"/>
      <c r="AA93" s="7">
        <f t="shared" ref="AA93:AI93" ca="1" si="402">RANDBETWEEN(0,AA116)/100-AA116/100/2</f>
        <v>-0.21</v>
      </c>
      <c r="AB93" s="8">
        <f t="shared" ca="1" si="402"/>
        <v>-0.03</v>
      </c>
      <c r="AC93" s="8">
        <f t="shared" ca="1" si="402"/>
        <v>-0.09</v>
      </c>
      <c r="AD93" s="8">
        <f t="shared" ca="1" si="402"/>
        <v>0.21000000000000002</v>
      </c>
      <c r="AE93" s="8">
        <f t="shared" ca="1" si="402"/>
        <v>0.25</v>
      </c>
      <c r="AF93" s="8">
        <f t="shared" ca="1" si="402"/>
        <v>3.999999999999998E-2</v>
      </c>
      <c r="AG93" s="8">
        <f t="shared" ca="1" si="402"/>
        <v>-4.0000000000000008E-2</v>
      </c>
      <c r="AH93" s="8">
        <f t="shared" ca="1" si="402"/>
        <v>7.0000000000000007E-2</v>
      </c>
      <c r="AI93" s="9">
        <f t="shared" ca="1" si="402"/>
        <v>0.24</v>
      </c>
      <c r="AK93" s="7"/>
      <c r="AL93" s="8"/>
      <c r="AM93" s="8" t="s">
        <v>18</v>
      </c>
      <c r="AN93" s="8"/>
      <c r="AO93" s="8" t="s">
        <v>27</v>
      </c>
      <c r="AP93" s="8"/>
      <c r="AQ93" s="8" t="s">
        <v>18</v>
      </c>
      <c r="AR93" s="8"/>
      <c r="AS93" s="9"/>
      <c r="AU93" s="7">
        <f t="shared" ref="AU93:AU104" ca="1" si="403">IF(AK93=$AK$25,G93+Q93+AA93+AK93,IFERROR(G93+Q93+AA93+AK93,AK93))</f>
        <v>12.36</v>
      </c>
      <c r="AV93" s="8">
        <f t="shared" ref="AV93:AV104" ca="1" si="404">IF(AL93=$AK$25,H93+R93+AB93+AL93,IFERROR(H93+R93+AB93+AL93,AL93))</f>
        <v>18.5</v>
      </c>
      <c r="AW93" s="8" t="e">
        <f t="shared" ref="AW93:AW104" ca="1" si="405">IF(AM93=$AK$25,I93+S93+AC93+AM93,IFERROR(I93+S93+AC93+AM93,AM93))</f>
        <v>#VALUE!</v>
      </c>
      <c r="AX93" s="8">
        <f t="shared" ref="AX93:AX104" ca="1" si="406">IF(AN93=$AK$25,J93+T93+AD93+AN93,IFERROR(J93+T93+AD93+AN93,AN93))</f>
        <v>20.34</v>
      </c>
      <c r="AY93" s="8" t="str">
        <f t="shared" ref="AY93:AY104" ca="1" si="407">IF(AO93=$AK$25,K93+U93+AE93+AO93,IFERROR(K93+U93+AE93+AO93,AO93))</f>
        <v>18-20'</v>
      </c>
      <c r="AZ93" s="8">
        <f ca="1">IF(AP93=$AK$25,L93+V93+AF93+AP93,IFERROR(L93+V93+AF93+AP93,AP93))</f>
        <v>19.73</v>
      </c>
      <c r="BA93" s="8" t="e">
        <f t="shared" ref="BA93:BA104" ca="1" si="408">IF(AQ93=$AK$25,M93+W93+AG93+AQ93,IFERROR(M93+W93+AG93+AQ93,AQ93))</f>
        <v>#VALUE!</v>
      </c>
      <c r="BB93" s="8">
        <f t="shared" ref="BB93:BB104" ca="1" si="409">IF(AR93=$AK$25,N93+X93+AH93+AR93,IFERROR(N93+X93+AH93+AR93,AR93))</f>
        <v>7</v>
      </c>
      <c r="BC93" s="9">
        <f t="shared" ref="BC93:BC104" ca="1" si="410">IF(AS93=$AK$25,O93+Y93+AI93+AS93,IFERROR(O93+Y93+AI93+AS93,AS93))</f>
        <v>13.674999999999999</v>
      </c>
      <c r="BD93" s="15" t="str">
        <f t="shared" ref="BD93:BD104" si="411">BO93</f>
        <v>gr6</v>
      </c>
      <c r="BE93" s="24">
        <f t="shared" ca="1" si="130"/>
        <v>12.36</v>
      </c>
      <c r="BF93" s="25">
        <f t="shared" ca="1" si="131"/>
        <v>18.5</v>
      </c>
      <c r="BG93" s="25" t="e">
        <f t="shared" ca="1" si="132"/>
        <v>#VALUE!</v>
      </c>
      <c r="BH93" s="25">
        <f t="shared" ca="1" si="133"/>
        <v>20.34</v>
      </c>
      <c r="BI93" s="25" t="s">
        <v>27</v>
      </c>
      <c r="BJ93" s="25">
        <f t="shared" ca="1" si="135"/>
        <v>19.73</v>
      </c>
      <c r="BK93" s="25" t="e">
        <f t="shared" ca="1" si="136"/>
        <v>#VALUE!</v>
      </c>
      <c r="BL93" s="25">
        <f t="shared" ca="1" si="137"/>
        <v>7</v>
      </c>
      <c r="BM93" s="26">
        <f t="shared" ca="1" si="138"/>
        <v>13.674999999999999</v>
      </c>
      <c r="BO93" s="44" t="str">
        <f t="shared" ref="BO93:BO104" si="412">C93</f>
        <v>gr6</v>
      </c>
      <c r="BP93" s="40" t="str">
        <f t="shared" ref="BP93:BP104" si="413">D93</f>
        <v>6bios1</v>
      </c>
      <c r="BQ93" s="40" t="str">
        <f t="shared" ref="BQ93:BQ104" si="414">E93</f>
        <v>tech61</v>
      </c>
      <c r="BR93" s="27">
        <f t="shared" ref="BR93:BR104" ca="1" si="415">IF(BE93="low",$BR$26,IF(BE93="high",$BS$26,BE93))</f>
        <v>12.36</v>
      </c>
      <c r="BS93" s="27">
        <f t="shared" ref="BS93:BS104" ca="1" si="416">IF(BF93="low",$BR$26,IF(BF93="high",$BS$26,BF93))</f>
        <v>18.5</v>
      </c>
      <c r="BT93" s="27" t="e">
        <f t="shared" ref="BT93:BT104" ca="1" si="417">IF(BG93="low",$BR$26,IF(BG93="high",$BS$26,BG93))</f>
        <v>#VALUE!</v>
      </c>
      <c r="BU93" s="27">
        <f t="shared" ref="BU93:BU104" ca="1" si="418">IF(BH93="low",$BR$26,IF(BH93="high",$BS$26,BH93))</f>
        <v>20.34</v>
      </c>
      <c r="BV93" s="27">
        <v>19</v>
      </c>
      <c r="BW93" s="27">
        <f t="shared" ref="BW93:BW104" ca="1" si="419">IF(BJ93="low",$BR$26,IF(BJ93="high",$BS$26,BJ93))</f>
        <v>19.73</v>
      </c>
      <c r="BX93" s="27" t="e">
        <f t="shared" ref="BX93:BX104" ca="1" si="420">IF(BK93="low",$BR$26,IF(BK93="high",$BS$26,BK93))</f>
        <v>#VALUE!</v>
      </c>
      <c r="BY93" s="27">
        <f t="shared" ref="BY93:BY104" ca="1" si="421">IF(BL93="low",$BR$26,IF(BL93="high",$BS$26,BL93))</f>
        <v>7</v>
      </c>
      <c r="BZ93" s="45">
        <f t="shared" ref="BZ93:BZ104" ca="1" si="422">IF(BM93="low",$BR$26,IF(BM93="high",$BS$26,BM93))</f>
        <v>13.674999999999999</v>
      </c>
      <c r="CC93" s="53" t="str">
        <f t="shared" ref="CC93:CC104" si="423">BO93</f>
        <v>gr6</v>
      </c>
      <c r="CD93" s="54" t="str">
        <f t="shared" ref="CD93:CD104" si="424">BP93</f>
        <v>6bios1</v>
      </c>
      <c r="CE93" s="54" t="str">
        <f t="shared" ref="CE93:CE104" si="425">BQ93</f>
        <v>tech61</v>
      </c>
      <c r="CF93" s="27">
        <f t="shared" ref="CF93:CF104" ca="1" si="426">IF(BE93="low",$BT$26,IF(BE93="high",$BT$26,$BU$26))</f>
        <v>0.5</v>
      </c>
      <c r="CG93" s="27">
        <f t="shared" ref="CG93:CG104" ca="1" si="427">IF(BF93="low",$BT$26,IF(BF93="high",$BT$26,$BU$26))</f>
        <v>0.5</v>
      </c>
      <c r="CH93" s="27" t="e">
        <f t="shared" ref="CH93:CH104" ca="1" si="428">IF(BG93="low",$BT$26,IF(BG93="high",$BT$26,$BU$26))</f>
        <v>#VALUE!</v>
      </c>
      <c r="CI93" s="27">
        <f t="shared" ref="CI93:CI104" ca="1" si="429">IF(BH93="low",$BT$26,IF(BH93="high",$BT$26,$BU$26))</f>
        <v>0.5</v>
      </c>
      <c r="CJ93" s="27">
        <v>1</v>
      </c>
      <c r="CK93" s="27">
        <f t="shared" ref="CK93:CK104" ca="1" si="430">IF(BJ93="low",$BT$26,IF(BJ93="high",$BT$26,$BU$26))</f>
        <v>0.5</v>
      </c>
      <c r="CL93" s="27" t="e">
        <f t="shared" ref="CL93:CL104" ca="1" si="431">IF(BK93="low",$BT$26,IF(BK93="high",$BT$26,$BU$26))</f>
        <v>#VALUE!</v>
      </c>
      <c r="CM93" s="27">
        <f t="shared" ref="CM93:CM104" ca="1" si="432">IF(BL93="low",$BT$26,IF(BL93="high",$BT$26,$BU$26))</f>
        <v>0.5</v>
      </c>
      <c r="CN93" s="45">
        <f t="shared" ref="CN93:CN104" ca="1" si="433">IF(BM93="low",$BT$26,IF(BM93="high",$BT$26,$BU$26))</f>
        <v>0.5</v>
      </c>
    </row>
    <row r="94" spans="3:92" x14ac:dyDescent="0.25">
      <c r="C94" t="str">
        <f t="shared" ref="C94:C104" si="434">F$12</f>
        <v>gr6</v>
      </c>
      <c r="D94" t="s">
        <v>118</v>
      </c>
      <c r="E94" t="s">
        <v>92</v>
      </c>
      <c r="G94" s="10">
        <f t="shared" ref="G94:G104" si="435">G93</f>
        <v>12.5</v>
      </c>
      <c r="H94" s="6">
        <f t="shared" ref="H94:H104" si="436">H93</f>
        <v>18</v>
      </c>
      <c r="I94" s="6">
        <f t="shared" ref="I94:I104" si="437">I93</f>
        <v>24</v>
      </c>
      <c r="J94" s="6">
        <f t="shared" ref="J94:J104" si="438">J93</f>
        <v>20.079999999999998</v>
      </c>
      <c r="K94" s="6">
        <f t="shared" ref="K94:K104" si="439">K93</f>
        <v>17.7</v>
      </c>
      <c r="L94" s="6">
        <f t="shared" ref="L94:L104" si="440">L93</f>
        <v>19.600000000000001</v>
      </c>
      <c r="M94" s="6">
        <f t="shared" ref="M94:M104" si="441">M93</f>
        <v>13.12</v>
      </c>
      <c r="N94" s="6">
        <f t="shared" ref="N94:N104" si="442">N93</f>
        <v>7.04</v>
      </c>
      <c r="O94" s="11">
        <f t="shared" ref="O94:O104" si="443">O93</f>
        <v>13.2</v>
      </c>
      <c r="Q94" s="10">
        <f t="shared" ref="Q94:Y94" ca="1" si="444">Q93</f>
        <v>7.0000000000000007E-2</v>
      </c>
      <c r="R94" s="6">
        <f t="shared" ca="1" si="444"/>
        <v>0.53</v>
      </c>
      <c r="S94" s="6">
        <f t="shared" ca="1" si="444"/>
        <v>9.9999999999999811E-3</v>
      </c>
      <c r="T94" s="6">
        <f t="shared" ca="1" si="444"/>
        <v>5.0000000000000017E-2</v>
      </c>
      <c r="U94" s="6">
        <f t="shared" ca="1" si="444"/>
        <v>-4.0000000000000008E-2</v>
      </c>
      <c r="V94" s="6">
        <f t="shared" ca="1" si="444"/>
        <v>0.09</v>
      </c>
      <c r="W94" s="6">
        <f t="shared" ca="1" si="444"/>
        <v>9.999999999999995E-3</v>
      </c>
      <c r="X94" s="6">
        <f t="shared" ca="1" si="444"/>
        <v>-0.11000000000000001</v>
      </c>
      <c r="Y94" s="11">
        <f t="shared" ca="1" si="444"/>
        <v>0.23499999999999999</v>
      </c>
      <c r="AA94" s="10">
        <f t="shared" ref="AA94:AI94" ca="1" si="445">RANDBETWEEN(0,AA116)/100-AA116/100/2</f>
        <v>0.25</v>
      </c>
      <c r="AB94" s="6">
        <f t="shared" ca="1" si="445"/>
        <v>-0.16999999999999998</v>
      </c>
      <c r="AC94" s="6">
        <f t="shared" ca="1" si="445"/>
        <v>-0.19</v>
      </c>
      <c r="AD94" s="6">
        <f t="shared" ca="1" si="445"/>
        <v>-1.999999999999999E-2</v>
      </c>
      <c r="AE94" s="6">
        <f t="shared" ca="1" si="445"/>
        <v>0.12</v>
      </c>
      <c r="AF94" s="6">
        <f t="shared" ca="1" si="445"/>
        <v>4.9999999999999989E-2</v>
      </c>
      <c r="AG94" s="6">
        <f t="shared" ca="1" si="445"/>
        <v>-0.16999999999999998</v>
      </c>
      <c r="AH94" s="6">
        <f t="shared" ca="1" si="445"/>
        <v>0.22999999999999998</v>
      </c>
      <c r="AI94" s="11">
        <f t="shared" ca="1" si="445"/>
        <v>8.0000000000000016E-2</v>
      </c>
      <c r="AK94" s="10"/>
      <c r="AL94" s="6"/>
      <c r="AM94" s="6" t="s">
        <v>18</v>
      </c>
      <c r="AN94" s="6"/>
      <c r="AO94" s="6" t="s">
        <v>27</v>
      </c>
      <c r="AP94" s="6"/>
      <c r="AQ94" s="6" t="s">
        <v>18</v>
      </c>
      <c r="AR94" s="15" t="s">
        <v>26</v>
      </c>
      <c r="AS94" s="11"/>
      <c r="AU94" s="10">
        <f t="shared" ca="1" si="403"/>
        <v>12.82</v>
      </c>
      <c r="AV94" s="6">
        <f t="shared" ca="1" si="404"/>
        <v>18.36</v>
      </c>
      <c r="AW94" s="6" t="e">
        <f t="shared" ca="1" si="405"/>
        <v>#VALUE!</v>
      </c>
      <c r="AX94" s="6">
        <f t="shared" ca="1" si="406"/>
        <v>20.11</v>
      </c>
      <c r="AY94" s="6" t="str">
        <f t="shared" ca="1" si="407"/>
        <v>18-20'</v>
      </c>
      <c r="AZ94" s="6">
        <f t="shared" ref="AZ94:AZ104" ca="1" si="446">IF(AP94=$AK$25,L94+V94+AF94+AP94,IFERROR(L94+V94+AF94+AP94,AP94))</f>
        <v>19.740000000000002</v>
      </c>
      <c r="BA94" s="6" t="e">
        <f t="shared" ca="1" si="408"/>
        <v>#VALUE!</v>
      </c>
      <c r="BB94" s="6" t="str">
        <f t="shared" ca="1" si="409"/>
        <v>5-8'</v>
      </c>
      <c r="BC94" s="11">
        <f t="shared" ca="1" si="410"/>
        <v>13.514999999999999</v>
      </c>
      <c r="BD94" s="15" t="str">
        <f t="shared" si="411"/>
        <v>gr6</v>
      </c>
      <c r="BE94" s="27">
        <f t="shared" ca="1" si="130"/>
        <v>12.82</v>
      </c>
      <c r="BF94" s="28">
        <f t="shared" ca="1" si="131"/>
        <v>18.36</v>
      </c>
      <c r="BG94" s="28" t="e">
        <f t="shared" ca="1" si="132"/>
        <v>#VALUE!</v>
      </c>
      <c r="BH94" s="28">
        <f t="shared" ca="1" si="133"/>
        <v>20.11</v>
      </c>
      <c r="BI94" s="28" t="s">
        <v>27</v>
      </c>
      <c r="BJ94" s="28">
        <f t="shared" ca="1" si="135"/>
        <v>19.740000000000002</v>
      </c>
      <c r="BK94" s="28" t="e">
        <f t="shared" ca="1" si="136"/>
        <v>#VALUE!</v>
      </c>
      <c r="BL94" s="28" t="s">
        <v>26</v>
      </c>
      <c r="BM94" s="29">
        <f t="shared" ca="1" si="138"/>
        <v>13.514999999999999</v>
      </c>
      <c r="BO94" s="44" t="str">
        <f t="shared" si="412"/>
        <v>gr6</v>
      </c>
      <c r="BP94" s="40" t="str">
        <f t="shared" si="413"/>
        <v>6bios1</v>
      </c>
      <c r="BQ94" s="40" t="str">
        <f t="shared" si="414"/>
        <v>tech62</v>
      </c>
      <c r="BR94" s="27">
        <f t="shared" ca="1" si="415"/>
        <v>12.82</v>
      </c>
      <c r="BS94" s="27">
        <f t="shared" ca="1" si="416"/>
        <v>18.36</v>
      </c>
      <c r="BT94" s="27" t="e">
        <f t="shared" ca="1" si="417"/>
        <v>#VALUE!</v>
      </c>
      <c r="BU94" s="27">
        <f t="shared" ca="1" si="418"/>
        <v>20.11</v>
      </c>
      <c r="BV94" s="27">
        <v>19</v>
      </c>
      <c r="BW94" s="27">
        <f t="shared" ca="1" si="419"/>
        <v>19.740000000000002</v>
      </c>
      <c r="BX94" s="27" t="e">
        <f t="shared" ca="1" si="420"/>
        <v>#VALUE!</v>
      </c>
      <c r="BY94" s="27">
        <v>6.5</v>
      </c>
      <c r="BZ94" s="45">
        <f t="shared" ca="1" si="422"/>
        <v>13.514999999999999</v>
      </c>
      <c r="CC94" s="53" t="str">
        <f t="shared" si="423"/>
        <v>gr6</v>
      </c>
      <c r="CD94" s="54" t="str">
        <f t="shared" si="424"/>
        <v>6bios1</v>
      </c>
      <c r="CE94" s="54" t="str">
        <f t="shared" si="425"/>
        <v>tech62</v>
      </c>
      <c r="CF94" s="27">
        <f t="shared" ca="1" si="426"/>
        <v>0.5</v>
      </c>
      <c r="CG94" s="27">
        <f t="shared" ca="1" si="427"/>
        <v>0.5</v>
      </c>
      <c r="CH94" s="27" t="e">
        <f t="shared" ca="1" si="428"/>
        <v>#VALUE!</v>
      </c>
      <c r="CI94" s="27">
        <f t="shared" ca="1" si="429"/>
        <v>0.5</v>
      </c>
      <c r="CJ94" s="27">
        <v>1</v>
      </c>
      <c r="CK94" s="27">
        <f t="shared" ca="1" si="430"/>
        <v>0.5</v>
      </c>
      <c r="CL94" s="27" t="e">
        <f t="shared" ca="1" si="431"/>
        <v>#VALUE!</v>
      </c>
      <c r="CM94" s="27">
        <v>1.5</v>
      </c>
      <c r="CN94" s="45">
        <f t="shared" ca="1" si="433"/>
        <v>0.5</v>
      </c>
    </row>
    <row r="95" spans="3:92" x14ac:dyDescent="0.25">
      <c r="C95" t="str">
        <f t="shared" si="434"/>
        <v>gr6</v>
      </c>
      <c r="D95" t="s">
        <v>118</v>
      </c>
      <c r="E95" t="s">
        <v>93</v>
      </c>
      <c r="G95" s="10">
        <f t="shared" si="435"/>
        <v>12.5</v>
      </c>
      <c r="H95" s="6">
        <f t="shared" si="436"/>
        <v>18</v>
      </c>
      <c r="I95" s="6">
        <f t="shared" si="437"/>
        <v>24</v>
      </c>
      <c r="J95" s="6">
        <f t="shared" si="438"/>
        <v>20.079999999999998</v>
      </c>
      <c r="K95" s="6">
        <f t="shared" si="439"/>
        <v>17.7</v>
      </c>
      <c r="L95" s="6">
        <f t="shared" si="440"/>
        <v>19.600000000000001</v>
      </c>
      <c r="M95" s="6">
        <f t="shared" si="441"/>
        <v>13.12</v>
      </c>
      <c r="N95" s="6">
        <f t="shared" si="442"/>
        <v>7.04</v>
      </c>
      <c r="O95" s="11">
        <f t="shared" si="443"/>
        <v>13.2</v>
      </c>
      <c r="Q95" s="10">
        <f t="shared" ref="Q95:Y95" ca="1" si="447">Q94</f>
        <v>7.0000000000000007E-2</v>
      </c>
      <c r="R95" s="6">
        <f t="shared" ca="1" si="447"/>
        <v>0.53</v>
      </c>
      <c r="S95" s="6">
        <f t="shared" ca="1" si="447"/>
        <v>9.9999999999999811E-3</v>
      </c>
      <c r="T95" s="6">
        <f t="shared" ca="1" si="447"/>
        <v>5.0000000000000017E-2</v>
      </c>
      <c r="U95" s="6">
        <f t="shared" ca="1" si="447"/>
        <v>-4.0000000000000008E-2</v>
      </c>
      <c r="V95" s="6">
        <f t="shared" ca="1" si="447"/>
        <v>0.09</v>
      </c>
      <c r="W95" s="6">
        <f t="shared" ca="1" si="447"/>
        <v>9.999999999999995E-3</v>
      </c>
      <c r="X95" s="6">
        <f t="shared" ca="1" si="447"/>
        <v>-0.11000000000000001</v>
      </c>
      <c r="Y95" s="11">
        <f t="shared" ca="1" si="447"/>
        <v>0.23499999999999999</v>
      </c>
      <c r="AA95" s="10">
        <f t="shared" ref="AA95:AI95" ca="1" si="448">RANDBETWEEN(0,AA116)/100-AA116/100/2</f>
        <v>-1.999999999999999E-2</v>
      </c>
      <c r="AB95" s="6">
        <f t="shared" ca="1" si="448"/>
        <v>9.9999999999999978E-2</v>
      </c>
      <c r="AC95" s="6">
        <f t="shared" ca="1" si="448"/>
        <v>0.13</v>
      </c>
      <c r="AD95" s="6">
        <f t="shared" ca="1" si="448"/>
        <v>-0.1</v>
      </c>
      <c r="AE95" s="6">
        <f t="shared" ca="1" si="448"/>
        <v>0.21999999999999997</v>
      </c>
      <c r="AF95" s="6">
        <f t="shared" ca="1" si="448"/>
        <v>1.0000000000000009E-2</v>
      </c>
      <c r="AG95" s="6">
        <f t="shared" ca="1" si="448"/>
        <v>-0.13</v>
      </c>
      <c r="AH95" s="6">
        <f t="shared" ca="1" si="448"/>
        <v>0.10999999999999999</v>
      </c>
      <c r="AI95" s="11">
        <f t="shared" ca="1" si="448"/>
        <v>-0.19</v>
      </c>
      <c r="AK95" s="10">
        <v>2</v>
      </c>
      <c r="AL95" s="6"/>
      <c r="AM95" s="6" t="s">
        <v>18</v>
      </c>
      <c r="AN95" s="6"/>
      <c r="AO95" s="6" t="s">
        <v>18</v>
      </c>
      <c r="AP95" s="6"/>
      <c r="AQ95" s="6" t="s">
        <v>18</v>
      </c>
      <c r="AR95" s="6"/>
      <c r="AS95" s="11"/>
      <c r="AU95" s="10">
        <f t="shared" ca="1" si="403"/>
        <v>14.55</v>
      </c>
      <c r="AV95" s="6">
        <f t="shared" ca="1" si="404"/>
        <v>18.630000000000003</v>
      </c>
      <c r="AW95" s="6" t="e">
        <f t="shared" ca="1" si="405"/>
        <v>#VALUE!</v>
      </c>
      <c r="AX95" s="6">
        <f t="shared" ca="1" si="406"/>
        <v>20.029999999999998</v>
      </c>
      <c r="AY95" s="6" t="e">
        <f t="shared" ca="1" si="407"/>
        <v>#VALUE!</v>
      </c>
      <c r="AZ95" s="6">
        <f t="shared" ca="1" si="446"/>
        <v>19.700000000000003</v>
      </c>
      <c r="BA95" s="6" t="e">
        <f t="shared" ca="1" si="408"/>
        <v>#VALUE!</v>
      </c>
      <c r="BB95" s="6">
        <f t="shared" ca="1" si="409"/>
        <v>7.04</v>
      </c>
      <c r="BC95" s="11">
        <f t="shared" ca="1" si="410"/>
        <v>13.244999999999999</v>
      </c>
      <c r="BD95" s="15" t="str">
        <f t="shared" si="411"/>
        <v>gr6</v>
      </c>
      <c r="BE95" s="27">
        <f t="shared" ca="1" si="130"/>
        <v>14.55</v>
      </c>
      <c r="BF95" s="28">
        <f t="shared" ca="1" si="131"/>
        <v>18.630000000000003</v>
      </c>
      <c r="BG95" s="28" t="e">
        <f t="shared" ca="1" si="132"/>
        <v>#VALUE!</v>
      </c>
      <c r="BH95" s="28">
        <f t="shared" ca="1" si="133"/>
        <v>20.029999999999998</v>
      </c>
      <c r="BI95" s="28" t="e">
        <f t="shared" ca="1" si="134"/>
        <v>#VALUE!</v>
      </c>
      <c r="BJ95" s="28">
        <f t="shared" ca="1" si="135"/>
        <v>19.700000000000003</v>
      </c>
      <c r="BK95" s="28" t="e">
        <f t="shared" ca="1" si="136"/>
        <v>#VALUE!</v>
      </c>
      <c r="BL95" s="28">
        <f t="shared" ca="1" si="137"/>
        <v>7.04</v>
      </c>
      <c r="BM95" s="29">
        <f t="shared" ca="1" si="138"/>
        <v>13.244999999999999</v>
      </c>
      <c r="BO95" s="44" t="str">
        <f t="shared" si="412"/>
        <v>gr6</v>
      </c>
      <c r="BP95" s="40" t="str">
        <f t="shared" si="413"/>
        <v>6bios1</v>
      </c>
      <c r="BQ95" s="40" t="str">
        <f t="shared" si="414"/>
        <v>tech63</v>
      </c>
      <c r="BR95" s="27">
        <f t="shared" ca="1" si="415"/>
        <v>14.55</v>
      </c>
      <c r="BS95" s="27">
        <f t="shared" ca="1" si="416"/>
        <v>18.630000000000003</v>
      </c>
      <c r="BT95" s="27" t="e">
        <f t="shared" ca="1" si="417"/>
        <v>#VALUE!</v>
      </c>
      <c r="BU95" s="27">
        <f t="shared" ca="1" si="418"/>
        <v>20.029999999999998</v>
      </c>
      <c r="BV95" s="27" t="e">
        <f ca="1">BI95</f>
        <v>#VALUE!</v>
      </c>
      <c r="BW95" s="27">
        <f t="shared" ca="1" si="419"/>
        <v>19.700000000000003</v>
      </c>
      <c r="BX95" s="27" t="e">
        <f t="shared" ca="1" si="420"/>
        <v>#VALUE!</v>
      </c>
      <c r="BY95" s="27">
        <f t="shared" ca="1" si="421"/>
        <v>7.04</v>
      </c>
      <c r="BZ95" s="45">
        <f t="shared" ca="1" si="422"/>
        <v>13.244999999999999</v>
      </c>
      <c r="CC95" s="53" t="str">
        <f t="shared" si="423"/>
        <v>gr6</v>
      </c>
      <c r="CD95" s="54" t="str">
        <f t="shared" si="424"/>
        <v>6bios1</v>
      </c>
      <c r="CE95" s="54" t="str">
        <f t="shared" si="425"/>
        <v>tech63</v>
      </c>
      <c r="CF95" s="27">
        <f t="shared" ca="1" si="426"/>
        <v>0.5</v>
      </c>
      <c r="CG95" s="27">
        <f t="shared" ca="1" si="427"/>
        <v>0.5</v>
      </c>
      <c r="CH95" s="27" t="e">
        <f t="shared" ca="1" si="428"/>
        <v>#VALUE!</v>
      </c>
      <c r="CI95" s="27">
        <f t="shared" ca="1" si="429"/>
        <v>0.5</v>
      </c>
      <c r="CJ95" s="27" t="e">
        <f t="shared" ref="CJ95" ca="1" si="449">IF(BI95="low",$BT$26,IF(BI95="high",$BT$26,$BU$26))</f>
        <v>#VALUE!</v>
      </c>
      <c r="CK95" s="27">
        <f t="shared" ca="1" si="430"/>
        <v>0.5</v>
      </c>
      <c r="CL95" s="27" t="e">
        <f t="shared" ca="1" si="431"/>
        <v>#VALUE!</v>
      </c>
      <c r="CM95" s="27">
        <f t="shared" ca="1" si="432"/>
        <v>0.5</v>
      </c>
      <c r="CN95" s="45">
        <f t="shared" ca="1" si="433"/>
        <v>0.5</v>
      </c>
    </row>
    <row r="96" spans="3:92" x14ac:dyDescent="0.25">
      <c r="C96" t="str">
        <f t="shared" si="434"/>
        <v>gr6</v>
      </c>
      <c r="D96" t="s">
        <v>118</v>
      </c>
      <c r="E96" t="s">
        <v>94</v>
      </c>
      <c r="G96" s="12">
        <f t="shared" si="435"/>
        <v>12.5</v>
      </c>
      <c r="H96" s="13">
        <f t="shared" si="436"/>
        <v>18</v>
      </c>
      <c r="I96" s="13">
        <f t="shared" si="437"/>
        <v>24</v>
      </c>
      <c r="J96" s="13">
        <f t="shared" si="438"/>
        <v>20.079999999999998</v>
      </c>
      <c r="K96" s="13">
        <f t="shared" si="439"/>
        <v>17.7</v>
      </c>
      <c r="L96" s="13">
        <f t="shared" si="440"/>
        <v>19.600000000000001</v>
      </c>
      <c r="M96" s="13">
        <f t="shared" si="441"/>
        <v>13.12</v>
      </c>
      <c r="N96" s="13">
        <f t="shared" si="442"/>
        <v>7.04</v>
      </c>
      <c r="O96" s="14">
        <f t="shared" si="443"/>
        <v>13.2</v>
      </c>
      <c r="Q96" s="12">
        <f t="shared" ref="Q96:Y96" ca="1" si="450">Q95</f>
        <v>7.0000000000000007E-2</v>
      </c>
      <c r="R96" s="13">
        <f t="shared" ca="1" si="450"/>
        <v>0.53</v>
      </c>
      <c r="S96" s="13">
        <f t="shared" ca="1" si="450"/>
        <v>9.9999999999999811E-3</v>
      </c>
      <c r="T96" s="13">
        <f t="shared" ca="1" si="450"/>
        <v>5.0000000000000017E-2</v>
      </c>
      <c r="U96" s="13">
        <f t="shared" ca="1" si="450"/>
        <v>-4.0000000000000008E-2</v>
      </c>
      <c r="V96" s="13">
        <f t="shared" ca="1" si="450"/>
        <v>0.09</v>
      </c>
      <c r="W96" s="13">
        <f t="shared" ca="1" si="450"/>
        <v>9.999999999999995E-3</v>
      </c>
      <c r="X96" s="13">
        <f t="shared" ca="1" si="450"/>
        <v>-0.11000000000000001</v>
      </c>
      <c r="Y96" s="14">
        <f t="shared" ca="1" si="450"/>
        <v>0.23499999999999999</v>
      </c>
      <c r="AA96" s="12">
        <f t="shared" ref="AA96:AI96" ca="1" si="451">RANDBETWEEN(0,AA116)/100-AA116/100/2</f>
        <v>0</v>
      </c>
      <c r="AB96" s="13">
        <f t="shared" ca="1" si="451"/>
        <v>9.0000000000000024E-2</v>
      </c>
      <c r="AC96" s="13">
        <f t="shared" ca="1" si="451"/>
        <v>0</v>
      </c>
      <c r="AD96" s="13">
        <f t="shared" ca="1" si="451"/>
        <v>-0.09</v>
      </c>
      <c r="AE96" s="13">
        <f t="shared" ca="1" si="451"/>
        <v>-0.16</v>
      </c>
      <c r="AF96" s="13">
        <f t="shared" ca="1" si="451"/>
        <v>7.0000000000000007E-2</v>
      </c>
      <c r="AG96" s="13">
        <f t="shared" ca="1" si="451"/>
        <v>-0.16</v>
      </c>
      <c r="AH96" s="13">
        <f t="shared" ca="1" si="451"/>
        <v>-0.16999999999999998</v>
      </c>
      <c r="AI96" s="14">
        <f t="shared" ca="1" si="451"/>
        <v>0</v>
      </c>
      <c r="AK96" s="12"/>
      <c r="AL96" s="13"/>
      <c r="AM96" s="13" t="s">
        <v>18</v>
      </c>
      <c r="AN96" s="13"/>
      <c r="AO96" s="13" t="s">
        <v>28</v>
      </c>
      <c r="AP96" s="13"/>
      <c r="AQ96" s="13" t="s">
        <v>18</v>
      </c>
      <c r="AR96" s="13"/>
      <c r="AS96" s="14"/>
      <c r="AU96" s="12">
        <f t="shared" ca="1" si="403"/>
        <v>12.57</v>
      </c>
      <c r="AV96" s="13">
        <f t="shared" ca="1" si="404"/>
        <v>18.62</v>
      </c>
      <c r="AW96" s="13" t="e">
        <f t="shared" ca="1" si="405"/>
        <v>#VALUE!</v>
      </c>
      <c r="AX96" s="13">
        <f t="shared" ca="1" si="406"/>
        <v>20.04</v>
      </c>
      <c r="AY96" s="13" t="str">
        <f t="shared" ca="1" si="407"/>
        <v>17-20'</v>
      </c>
      <c r="AZ96" s="13">
        <f t="shared" ca="1" si="446"/>
        <v>19.760000000000002</v>
      </c>
      <c r="BA96" s="13" t="e">
        <f t="shared" ca="1" si="408"/>
        <v>#VALUE!</v>
      </c>
      <c r="BB96" s="13">
        <f t="shared" ca="1" si="409"/>
        <v>6.76</v>
      </c>
      <c r="BC96" s="14">
        <f t="shared" ca="1" si="410"/>
        <v>13.434999999999999</v>
      </c>
      <c r="BD96" s="15" t="str">
        <f t="shared" si="411"/>
        <v>gr6</v>
      </c>
      <c r="BE96" s="30">
        <f t="shared" ca="1" si="130"/>
        <v>12.57</v>
      </c>
      <c r="BF96" s="31">
        <f t="shared" ca="1" si="131"/>
        <v>18.62</v>
      </c>
      <c r="BG96" s="31" t="e">
        <f t="shared" ca="1" si="132"/>
        <v>#VALUE!</v>
      </c>
      <c r="BH96" s="31">
        <f t="shared" ca="1" si="133"/>
        <v>20.04</v>
      </c>
      <c r="BI96" s="31" t="s">
        <v>28</v>
      </c>
      <c r="BJ96" s="31">
        <f t="shared" ca="1" si="135"/>
        <v>19.760000000000002</v>
      </c>
      <c r="BK96" s="31" t="e">
        <f t="shared" ca="1" si="136"/>
        <v>#VALUE!</v>
      </c>
      <c r="BL96" s="31">
        <f t="shared" ca="1" si="137"/>
        <v>6.76</v>
      </c>
      <c r="BM96" s="32">
        <f t="shared" ca="1" si="138"/>
        <v>13.434999999999999</v>
      </c>
      <c r="BO96" s="44" t="str">
        <f t="shared" si="412"/>
        <v>gr6</v>
      </c>
      <c r="BP96" s="40" t="str">
        <f t="shared" si="413"/>
        <v>6bios1</v>
      </c>
      <c r="BQ96" s="40" t="str">
        <f t="shared" si="414"/>
        <v>tech64</v>
      </c>
      <c r="BR96" s="27">
        <f t="shared" ca="1" si="415"/>
        <v>12.57</v>
      </c>
      <c r="BS96" s="27">
        <f t="shared" ca="1" si="416"/>
        <v>18.62</v>
      </c>
      <c r="BT96" s="27" t="e">
        <f t="shared" ca="1" si="417"/>
        <v>#VALUE!</v>
      </c>
      <c r="BU96" s="27">
        <f t="shared" ca="1" si="418"/>
        <v>20.04</v>
      </c>
      <c r="BV96" s="27">
        <v>18.5</v>
      </c>
      <c r="BW96" s="27">
        <f t="shared" ca="1" si="419"/>
        <v>19.760000000000002</v>
      </c>
      <c r="BX96" s="27" t="e">
        <f t="shared" ca="1" si="420"/>
        <v>#VALUE!</v>
      </c>
      <c r="BY96" s="27">
        <f t="shared" ca="1" si="421"/>
        <v>6.76</v>
      </c>
      <c r="BZ96" s="45">
        <f t="shared" ca="1" si="422"/>
        <v>13.434999999999999</v>
      </c>
      <c r="CC96" s="53" t="str">
        <f t="shared" si="423"/>
        <v>gr6</v>
      </c>
      <c r="CD96" s="54" t="str">
        <f t="shared" si="424"/>
        <v>6bios1</v>
      </c>
      <c r="CE96" s="54" t="str">
        <f t="shared" si="425"/>
        <v>tech64</v>
      </c>
      <c r="CF96" s="27">
        <f t="shared" ca="1" si="426"/>
        <v>0.5</v>
      </c>
      <c r="CG96" s="27">
        <f t="shared" ca="1" si="427"/>
        <v>0.5</v>
      </c>
      <c r="CH96" s="27" t="e">
        <f t="shared" ca="1" si="428"/>
        <v>#VALUE!</v>
      </c>
      <c r="CI96" s="27">
        <f t="shared" ca="1" si="429"/>
        <v>0.5</v>
      </c>
      <c r="CJ96" s="27">
        <v>1.5</v>
      </c>
      <c r="CK96" s="27">
        <f t="shared" ca="1" si="430"/>
        <v>0.5</v>
      </c>
      <c r="CL96" s="27" t="e">
        <f t="shared" ca="1" si="431"/>
        <v>#VALUE!</v>
      </c>
      <c r="CM96" s="27">
        <f t="shared" ca="1" si="432"/>
        <v>0.5</v>
      </c>
      <c r="CN96" s="45">
        <f t="shared" ca="1" si="433"/>
        <v>0.5</v>
      </c>
    </row>
    <row r="97" spans="3:92" x14ac:dyDescent="0.25">
      <c r="C97" t="str">
        <f t="shared" si="434"/>
        <v>gr6</v>
      </c>
      <c r="D97" t="s">
        <v>119</v>
      </c>
      <c r="E97" t="s">
        <v>95</v>
      </c>
      <c r="G97" s="7">
        <f t="shared" si="435"/>
        <v>12.5</v>
      </c>
      <c r="H97" s="8">
        <f t="shared" si="436"/>
        <v>18</v>
      </c>
      <c r="I97" s="8">
        <f t="shared" si="437"/>
        <v>24</v>
      </c>
      <c r="J97" s="8">
        <f t="shared" si="438"/>
        <v>20.079999999999998</v>
      </c>
      <c r="K97" s="8">
        <f t="shared" si="439"/>
        <v>17.7</v>
      </c>
      <c r="L97" s="8">
        <f t="shared" si="440"/>
        <v>19.600000000000001</v>
      </c>
      <c r="M97" s="8">
        <f t="shared" si="441"/>
        <v>13.12</v>
      </c>
      <c r="N97" s="8">
        <f t="shared" si="442"/>
        <v>7.04</v>
      </c>
      <c r="O97" s="9">
        <f t="shared" si="443"/>
        <v>13.2</v>
      </c>
      <c r="Q97" s="7">
        <f t="shared" ref="Q97:Y97" ca="1" si="452">RANDBETWEEN(0,Q116)/100-Q116/100/2</f>
        <v>-0.05</v>
      </c>
      <c r="R97" s="8">
        <f t="shared" ca="1" si="452"/>
        <v>-8.0000000000000071E-2</v>
      </c>
      <c r="S97" s="8">
        <f t="shared" ca="1" si="452"/>
        <v>-2.0000000000000018E-2</v>
      </c>
      <c r="T97" s="8">
        <f t="shared" ca="1" si="452"/>
        <v>0.11000000000000001</v>
      </c>
      <c r="U97" s="8">
        <f t="shared" ca="1" si="452"/>
        <v>-0.03</v>
      </c>
      <c r="V97" s="8">
        <f t="shared" ca="1" si="452"/>
        <v>0.12000000000000002</v>
      </c>
      <c r="W97" s="8">
        <f t="shared" ca="1" si="452"/>
        <v>9.999999999999995E-3</v>
      </c>
      <c r="X97" s="8">
        <f t="shared" ca="1" si="452"/>
        <v>0.16999999999999998</v>
      </c>
      <c r="Y97" s="9">
        <f t="shared" ca="1" si="452"/>
        <v>-0.23499999999999999</v>
      </c>
      <c r="AA97" s="7">
        <f t="shared" ref="AA97:AI97" ca="1" si="453">RANDBETWEEN(0,AA116)/100-AA116/100/2</f>
        <v>-1.999999999999999E-2</v>
      </c>
      <c r="AB97" s="8">
        <f t="shared" ca="1" si="453"/>
        <v>0.21999999999999997</v>
      </c>
      <c r="AC97" s="8">
        <f t="shared" ca="1" si="453"/>
        <v>0.19</v>
      </c>
      <c r="AD97" s="8">
        <f t="shared" ca="1" si="453"/>
        <v>-4.9999999999999989E-2</v>
      </c>
      <c r="AE97" s="8">
        <f t="shared" ca="1" si="453"/>
        <v>0</v>
      </c>
      <c r="AF97" s="8">
        <f t="shared" ca="1" si="453"/>
        <v>0.25</v>
      </c>
      <c r="AG97" s="8">
        <f t="shared" ca="1" si="453"/>
        <v>-7.0000000000000007E-2</v>
      </c>
      <c r="AH97" s="8">
        <f t="shared" ca="1" si="453"/>
        <v>-0.16999999999999998</v>
      </c>
      <c r="AI97" s="9">
        <f t="shared" ca="1" si="453"/>
        <v>-0.03</v>
      </c>
      <c r="AK97" s="7"/>
      <c r="AL97" s="8"/>
      <c r="AM97" s="8" t="s">
        <v>18</v>
      </c>
      <c r="AN97" s="8"/>
      <c r="AO97" s="8" t="s">
        <v>22</v>
      </c>
      <c r="AP97" s="8"/>
      <c r="AQ97" s="8" t="s">
        <v>18</v>
      </c>
      <c r="AR97" s="8"/>
      <c r="AS97" s="9"/>
      <c r="AU97" s="7">
        <f t="shared" ca="1" si="403"/>
        <v>12.43</v>
      </c>
      <c r="AV97" s="8">
        <f t="shared" ca="1" si="404"/>
        <v>18.14</v>
      </c>
      <c r="AW97" s="8" t="e">
        <f t="shared" ca="1" si="405"/>
        <v>#VALUE!</v>
      </c>
      <c r="AX97" s="8">
        <f t="shared" ca="1" si="406"/>
        <v>20.139999999999997</v>
      </c>
      <c r="AY97" s="8" t="str">
        <f t="shared" ca="1" si="407"/>
        <v>15-20'</v>
      </c>
      <c r="AZ97" s="8">
        <f t="shared" ca="1" si="446"/>
        <v>19.970000000000002</v>
      </c>
      <c r="BA97" s="8" t="e">
        <f t="shared" ca="1" si="408"/>
        <v>#VALUE!</v>
      </c>
      <c r="BB97" s="8">
        <f t="shared" ca="1" si="409"/>
        <v>7.04</v>
      </c>
      <c r="BC97" s="9">
        <f t="shared" ca="1" si="410"/>
        <v>12.935</v>
      </c>
      <c r="BD97" s="15" t="str">
        <f t="shared" si="411"/>
        <v>gr6</v>
      </c>
      <c r="BE97" s="24">
        <f t="shared" ca="1" si="130"/>
        <v>12.43</v>
      </c>
      <c r="BF97" s="25">
        <f t="shared" ca="1" si="131"/>
        <v>18.14</v>
      </c>
      <c r="BG97" s="25" t="e">
        <f t="shared" ca="1" si="132"/>
        <v>#VALUE!</v>
      </c>
      <c r="BH97" s="25">
        <f t="shared" ca="1" si="133"/>
        <v>20.139999999999997</v>
      </c>
      <c r="BI97" s="25" t="s">
        <v>22</v>
      </c>
      <c r="BJ97" s="25">
        <f t="shared" ca="1" si="135"/>
        <v>19.970000000000002</v>
      </c>
      <c r="BK97" s="25" t="e">
        <f t="shared" ca="1" si="136"/>
        <v>#VALUE!</v>
      </c>
      <c r="BL97" s="25">
        <f t="shared" ca="1" si="137"/>
        <v>7.04</v>
      </c>
      <c r="BM97" s="26">
        <f t="shared" ca="1" si="138"/>
        <v>12.935</v>
      </c>
      <c r="BO97" s="44" t="str">
        <f t="shared" si="412"/>
        <v>gr6</v>
      </c>
      <c r="BP97" s="40" t="str">
        <f t="shared" si="413"/>
        <v>6bios2</v>
      </c>
      <c r="BQ97" s="40" t="str">
        <f t="shared" si="414"/>
        <v>tech65</v>
      </c>
      <c r="BR97" s="27">
        <f t="shared" ca="1" si="415"/>
        <v>12.43</v>
      </c>
      <c r="BS97" s="27">
        <f t="shared" ca="1" si="416"/>
        <v>18.14</v>
      </c>
      <c r="BT97" s="27" t="e">
        <f t="shared" ca="1" si="417"/>
        <v>#VALUE!</v>
      </c>
      <c r="BU97" s="27">
        <f t="shared" ca="1" si="418"/>
        <v>20.139999999999997</v>
      </c>
      <c r="BV97" s="27">
        <v>17.5</v>
      </c>
      <c r="BW97" s="27">
        <f t="shared" ca="1" si="419"/>
        <v>19.970000000000002</v>
      </c>
      <c r="BX97" s="27" t="e">
        <f t="shared" ca="1" si="420"/>
        <v>#VALUE!</v>
      </c>
      <c r="BY97" s="27">
        <f t="shared" ca="1" si="421"/>
        <v>7.04</v>
      </c>
      <c r="BZ97" s="45">
        <f t="shared" ca="1" si="422"/>
        <v>12.935</v>
      </c>
      <c r="CC97" s="53" t="str">
        <f t="shared" si="423"/>
        <v>gr6</v>
      </c>
      <c r="CD97" s="54" t="str">
        <f t="shared" si="424"/>
        <v>6bios2</v>
      </c>
      <c r="CE97" s="54" t="str">
        <f t="shared" si="425"/>
        <v>tech65</v>
      </c>
      <c r="CF97" s="27">
        <f t="shared" ca="1" si="426"/>
        <v>0.5</v>
      </c>
      <c r="CG97" s="27">
        <f t="shared" ca="1" si="427"/>
        <v>0.5</v>
      </c>
      <c r="CH97" s="27" t="e">
        <f t="shared" ca="1" si="428"/>
        <v>#VALUE!</v>
      </c>
      <c r="CI97" s="27">
        <f t="shared" ca="1" si="429"/>
        <v>0.5</v>
      </c>
      <c r="CJ97" s="27">
        <v>2.5</v>
      </c>
      <c r="CK97" s="27">
        <f t="shared" ca="1" si="430"/>
        <v>0.5</v>
      </c>
      <c r="CL97" s="27" t="e">
        <f t="shared" ca="1" si="431"/>
        <v>#VALUE!</v>
      </c>
      <c r="CM97" s="27">
        <f t="shared" ca="1" si="432"/>
        <v>0.5</v>
      </c>
      <c r="CN97" s="45">
        <f t="shared" ca="1" si="433"/>
        <v>0.5</v>
      </c>
    </row>
    <row r="98" spans="3:92" x14ac:dyDescent="0.25">
      <c r="C98" t="str">
        <f t="shared" si="434"/>
        <v>gr6</v>
      </c>
      <c r="D98" t="s">
        <v>119</v>
      </c>
      <c r="E98" t="s">
        <v>96</v>
      </c>
      <c r="G98" s="10">
        <f t="shared" si="435"/>
        <v>12.5</v>
      </c>
      <c r="H98" s="6">
        <f t="shared" si="436"/>
        <v>18</v>
      </c>
      <c r="I98" s="6">
        <f t="shared" si="437"/>
        <v>24</v>
      </c>
      <c r="J98" s="6">
        <f t="shared" si="438"/>
        <v>20.079999999999998</v>
      </c>
      <c r="K98" s="6">
        <f t="shared" si="439"/>
        <v>17.7</v>
      </c>
      <c r="L98" s="6">
        <f t="shared" si="440"/>
        <v>19.600000000000001</v>
      </c>
      <c r="M98" s="6">
        <f t="shared" si="441"/>
        <v>13.12</v>
      </c>
      <c r="N98" s="6">
        <f t="shared" si="442"/>
        <v>7.04</v>
      </c>
      <c r="O98" s="11">
        <f t="shared" si="443"/>
        <v>13.2</v>
      </c>
      <c r="Q98" s="10">
        <f t="shared" ref="Q98:Y98" ca="1" si="454">Q97</f>
        <v>-0.05</v>
      </c>
      <c r="R98" s="6">
        <f t="shared" ca="1" si="454"/>
        <v>-8.0000000000000071E-2</v>
      </c>
      <c r="S98" s="6">
        <f t="shared" ca="1" si="454"/>
        <v>-2.0000000000000018E-2</v>
      </c>
      <c r="T98" s="6">
        <f t="shared" ca="1" si="454"/>
        <v>0.11000000000000001</v>
      </c>
      <c r="U98" s="6">
        <f t="shared" ca="1" si="454"/>
        <v>-0.03</v>
      </c>
      <c r="V98" s="6">
        <f t="shared" ca="1" si="454"/>
        <v>0.12000000000000002</v>
      </c>
      <c r="W98" s="6">
        <f t="shared" ca="1" si="454"/>
        <v>9.999999999999995E-3</v>
      </c>
      <c r="X98" s="6">
        <f t="shared" ca="1" si="454"/>
        <v>0.16999999999999998</v>
      </c>
      <c r="Y98" s="11">
        <f t="shared" ca="1" si="454"/>
        <v>-0.23499999999999999</v>
      </c>
      <c r="AA98" s="10">
        <f t="shared" ref="AA98:AI98" ca="1" si="455">RANDBETWEEN(0,AA116)/100-AA116/100/2</f>
        <v>1.0000000000000009E-2</v>
      </c>
      <c r="AB98" s="6">
        <f t="shared" ca="1" si="455"/>
        <v>-0.1</v>
      </c>
      <c r="AC98" s="6">
        <f t="shared" ca="1" si="455"/>
        <v>1.0000000000000009E-2</v>
      </c>
      <c r="AD98" s="6">
        <f t="shared" ca="1" si="455"/>
        <v>-1.999999999999999E-2</v>
      </c>
      <c r="AE98" s="6">
        <f t="shared" ca="1" si="455"/>
        <v>0.21000000000000002</v>
      </c>
      <c r="AF98" s="6">
        <f t="shared" ca="1" si="455"/>
        <v>0.24</v>
      </c>
      <c r="AG98" s="6">
        <f t="shared" ca="1" si="455"/>
        <v>3.0000000000000027E-2</v>
      </c>
      <c r="AH98" s="6">
        <f t="shared" ca="1" si="455"/>
        <v>0.24</v>
      </c>
      <c r="AI98" s="11">
        <f t="shared" ca="1" si="455"/>
        <v>-0.21</v>
      </c>
      <c r="AK98" s="10"/>
      <c r="AL98" s="6"/>
      <c r="AM98" s="6" t="s">
        <v>18</v>
      </c>
      <c r="AN98" s="6"/>
      <c r="AO98" s="6" t="s">
        <v>23</v>
      </c>
      <c r="AP98" s="6"/>
      <c r="AQ98" s="6" t="s">
        <v>18</v>
      </c>
      <c r="AR98" s="6">
        <v>2</v>
      </c>
      <c r="AS98" s="11"/>
      <c r="AU98" s="10">
        <f t="shared" ca="1" si="403"/>
        <v>12.459999999999999</v>
      </c>
      <c r="AV98" s="6">
        <f t="shared" ca="1" si="404"/>
        <v>17.82</v>
      </c>
      <c r="AW98" s="6" t="e">
        <f t="shared" ca="1" si="405"/>
        <v>#VALUE!</v>
      </c>
      <c r="AX98" s="6">
        <f t="shared" ca="1" si="406"/>
        <v>20.169999999999998</v>
      </c>
      <c r="AY98" s="6" t="str">
        <f t="shared" ca="1" si="407"/>
        <v>15-21'</v>
      </c>
      <c r="AZ98" s="6">
        <f t="shared" ca="1" si="446"/>
        <v>19.96</v>
      </c>
      <c r="BA98" s="6" t="e">
        <f t="shared" ca="1" si="408"/>
        <v>#VALUE!</v>
      </c>
      <c r="BB98" s="6">
        <f t="shared" ca="1" si="409"/>
        <v>9.4499999999999993</v>
      </c>
      <c r="BC98" s="11">
        <f t="shared" ca="1" si="410"/>
        <v>12.754999999999999</v>
      </c>
      <c r="BD98" s="15" t="str">
        <f t="shared" si="411"/>
        <v>gr6</v>
      </c>
      <c r="BE98" s="27">
        <f t="shared" ca="1" si="130"/>
        <v>12.459999999999999</v>
      </c>
      <c r="BF98" s="28">
        <f t="shared" ca="1" si="131"/>
        <v>17.82</v>
      </c>
      <c r="BG98" s="28" t="e">
        <f t="shared" ca="1" si="132"/>
        <v>#VALUE!</v>
      </c>
      <c r="BH98" s="28">
        <f t="shared" ca="1" si="133"/>
        <v>20.169999999999998</v>
      </c>
      <c r="BI98" s="28" t="s">
        <v>23</v>
      </c>
      <c r="BJ98" s="28">
        <f t="shared" ca="1" si="135"/>
        <v>19.96</v>
      </c>
      <c r="BK98" s="28" t="e">
        <f t="shared" ca="1" si="136"/>
        <v>#VALUE!</v>
      </c>
      <c r="BL98" s="28">
        <f t="shared" ca="1" si="137"/>
        <v>9.4499999999999993</v>
      </c>
      <c r="BM98" s="29">
        <f t="shared" ca="1" si="138"/>
        <v>12.754999999999999</v>
      </c>
      <c r="BO98" s="44" t="str">
        <f t="shared" si="412"/>
        <v>gr6</v>
      </c>
      <c r="BP98" s="40" t="str">
        <f t="shared" si="413"/>
        <v>6bios2</v>
      </c>
      <c r="BQ98" s="40" t="str">
        <f t="shared" si="414"/>
        <v>tech66</v>
      </c>
      <c r="BR98" s="27">
        <f t="shared" ca="1" si="415"/>
        <v>12.459999999999999</v>
      </c>
      <c r="BS98" s="27">
        <f t="shared" ca="1" si="416"/>
        <v>17.82</v>
      </c>
      <c r="BT98" s="27" t="e">
        <f t="shared" ca="1" si="417"/>
        <v>#VALUE!</v>
      </c>
      <c r="BU98" s="27">
        <f t="shared" ca="1" si="418"/>
        <v>20.169999999999998</v>
      </c>
      <c r="BV98" s="27">
        <v>18</v>
      </c>
      <c r="BW98" s="27">
        <f t="shared" ca="1" si="419"/>
        <v>19.96</v>
      </c>
      <c r="BX98" s="27" t="e">
        <f t="shared" ca="1" si="420"/>
        <v>#VALUE!</v>
      </c>
      <c r="BY98" s="27">
        <f t="shared" ca="1" si="421"/>
        <v>9.4499999999999993</v>
      </c>
      <c r="BZ98" s="45">
        <f t="shared" ca="1" si="422"/>
        <v>12.754999999999999</v>
      </c>
      <c r="CC98" s="53" t="str">
        <f t="shared" si="423"/>
        <v>gr6</v>
      </c>
      <c r="CD98" s="54" t="str">
        <f t="shared" si="424"/>
        <v>6bios2</v>
      </c>
      <c r="CE98" s="54" t="str">
        <f t="shared" si="425"/>
        <v>tech66</v>
      </c>
      <c r="CF98" s="27">
        <f t="shared" ca="1" si="426"/>
        <v>0.5</v>
      </c>
      <c r="CG98" s="27">
        <f t="shared" ca="1" si="427"/>
        <v>0.5</v>
      </c>
      <c r="CH98" s="27" t="e">
        <f t="shared" ca="1" si="428"/>
        <v>#VALUE!</v>
      </c>
      <c r="CI98" s="27">
        <f t="shared" ca="1" si="429"/>
        <v>0.5</v>
      </c>
      <c r="CJ98" s="27">
        <v>3</v>
      </c>
      <c r="CK98" s="27">
        <f t="shared" ca="1" si="430"/>
        <v>0.5</v>
      </c>
      <c r="CL98" s="27" t="e">
        <f t="shared" ca="1" si="431"/>
        <v>#VALUE!</v>
      </c>
      <c r="CM98" s="27">
        <f t="shared" ca="1" si="432"/>
        <v>0.5</v>
      </c>
      <c r="CN98" s="45">
        <f t="shared" ca="1" si="433"/>
        <v>0.5</v>
      </c>
    </row>
    <row r="99" spans="3:92" x14ac:dyDescent="0.25">
      <c r="C99" t="str">
        <f t="shared" si="434"/>
        <v>gr6</v>
      </c>
      <c r="D99" t="s">
        <v>119</v>
      </c>
      <c r="E99" t="s">
        <v>97</v>
      </c>
      <c r="G99" s="10">
        <f t="shared" si="435"/>
        <v>12.5</v>
      </c>
      <c r="H99" s="6">
        <f t="shared" si="436"/>
        <v>18</v>
      </c>
      <c r="I99" s="6">
        <f t="shared" si="437"/>
        <v>24</v>
      </c>
      <c r="J99" s="6">
        <f t="shared" si="438"/>
        <v>20.079999999999998</v>
      </c>
      <c r="K99" s="6">
        <f t="shared" si="439"/>
        <v>17.7</v>
      </c>
      <c r="L99" s="6">
        <f t="shared" si="440"/>
        <v>19.600000000000001</v>
      </c>
      <c r="M99" s="6">
        <f t="shared" si="441"/>
        <v>13.12</v>
      </c>
      <c r="N99" s="6">
        <f t="shared" si="442"/>
        <v>7.04</v>
      </c>
      <c r="O99" s="11">
        <f t="shared" si="443"/>
        <v>13.2</v>
      </c>
      <c r="Q99" s="10">
        <f t="shared" ref="Q99:Y99" ca="1" si="456">Q98</f>
        <v>-0.05</v>
      </c>
      <c r="R99" s="6">
        <f t="shared" ca="1" si="456"/>
        <v>-8.0000000000000071E-2</v>
      </c>
      <c r="S99" s="6">
        <f t="shared" ca="1" si="456"/>
        <v>-2.0000000000000018E-2</v>
      </c>
      <c r="T99" s="6">
        <f t="shared" ca="1" si="456"/>
        <v>0.11000000000000001</v>
      </c>
      <c r="U99" s="6">
        <f t="shared" ca="1" si="456"/>
        <v>-0.03</v>
      </c>
      <c r="V99" s="6">
        <f t="shared" ca="1" si="456"/>
        <v>0.12000000000000002</v>
      </c>
      <c r="W99" s="6">
        <f t="shared" ca="1" si="456"/>
        <v>9.999999999999995E-3</v>
      </c>
      <c r="X99" s="6">
        <f t="shared" ca="1" si="456"/>
        <v>0.16999999999999998</v>
      </c>
      <c r="Y99" s="11">
        <f t="shared" ca="1" si="456"/>
        <v>-0.23499999999999999</v>
      </c>
      <c r="AA99" s="10">
        <f t="shared" ref="AA99:AI99" ca="1" si="457">RANDBETWEEN(0,AA116)/100-AA116/100/2</f>
        <v>3.999999999999998E-2</v>
      </c>
      <c r="AB99" s="6">
        <f t="shared" ca="1" si="457"/>
        <v>-0.22</v>
      </c>
      <c r="AC99" s="6">
        <f t="shared" ca="1" si="457"/>
        <v>-0.22</v>
      </c>
      <c r="AD99" s="6">
        <f t="shared" ca="1" si="457"/>
        <v>-0.13</v>
      </c>
      <c r="AE99" s="6">
        <f t="shared" ca="1" si="457"/>
        <v>-7.0000000000000007E-2</v>
      </c>
      <c r="AF99" s="6">
        <f t="shared" ca="1" si="457"/>
        <v>3.0000000000000027E-2</v>
      </c>
      <c r="AG99" s="6">
        <f t="shared" ca="1" si="457"/>
        <v>1.0000000000000009E-2</v>
      </c>
      <c r="AH99" s="6">
        <f t="shared" ca="1" si="457"/>
        <v>-7.0000000000000007E-2</v>
      </c>
      <c r="AI99" s="11">
        <f t="shared" ca="1" si="457"/>
        <v>-0.21</v>
      </c>
      <c r="AK99" s="10" t="s">
        <v>18</v>
      </c>
      <c r="AL99" s="6"/>
      <c r="AM99" s="6" t="s">
        <v>18</v>
      </c>
      <c r="AN99" s="6"/>
      <c r="AO99" s="6" t="s">
        <v>24</v>
      </c>
      <c r="AP99" s="6"/>
      <c r="AQ99" s="6" t="s">
        <v>18</v>
      </c>
      <c r="AR99" s="6"/>
      <c r="AS99" s="11"/>
      <c r="AU99" s="10" t="e">
        <f t="shared" ca="1" si="403"/>
        <v>#VALUE!</v>
      </c>
      <c r="AV99" s="6">
        <f t="shared" ca="1" si="404"/>
        <v>17.700000000000003</v>
      </c>
      <c r="AW99" s="6" t="e">
        <f t="shared" ca="1" si="405"/>
        <v>#VALUE!</v>
      </c>
      <c r="AX99" s="6">
        <f t="shared" ca="1" si="406"/>
        <v>20.059999999999999</v>
      </c>
      <c r="AY99" s="6" t="str">
        <f t="shared" ca="1" si="407"/>
        <v>17-18'</v>
      </c>
      <c r="AZ99" s="6">
        <f t="shared" ca="1" si="446"/>
        <v>19.750000000000004</v>
      </c>
      <c r="BA99" s="6" t="e">
        <f t="shared" ca="1" si="408"/>
        <v>#VALUE!</v>
      </c>
      <c r="BB99" s="6">
        <f t="shared" ca="1" si="409"/>
        <v>7.14</v>
      </c>
      <c r="BC99" s="11">
        <f t="shared" ca="1" si="410"/>
        <v>12.754999999999999</v>
      </c>
      <c r="BD99" s="15" t="str">
        <f t="shared" si="411"/>
        <v>gr6</v>
      </c>
      <c r="BE99" s="27" t="e">
        <f t="shared" ca="1" si="130"/>
        <v>#VALUE!</v>
      </c>
      <c r="BF99" s="28">
        <f t="shared" ca="1" si="131"/>
        <v>17.700000000000003</v>
      </c>
      <c r="BG99" s="28" t="e">
        <f t="shared" ca="1" si="132"/>
        <v>#VALUE!</v>
      </c>
      <c r="BH99" s="28">
        <f t="shared" ca="1" si="133"/>
        <v>20.059999999999999</v>
      </c>
      <c r="BI99" s="28" t="s">
        <v>24</v>
      </c>
      <c r="BJ99" s="28">
        <f t="shared" ca="1" si="135"/>
        <v>19.750000000000004</v>
      </c>
      <c r="BK99" s="28" t="e">
        <f t="shared" ca="1" si="136"/>
        <v>#VALUE!</v>
      </c>
      <c r="BL99" s="28">
        <f t="shared" ca="1" si="137"/>
        <v>7.14</v>
      </c>
      <c r="BM99" s="29">
        <f t="shared" ca="1" si="138"/>
        <v>12.754999999999999</v>
      </c>
      <c r="BO99" s="44" t="str">
        <f t="shared" si="412"/>
        <v>gr6</v>
      </c>
      <c r="BP99" s="40" t="str">
        <f t="shared" si="413"/>
        <v>6bios2</v>
      </c>
      <c r="BQ99" s="40" t="str">
        <f t="shared" si="414"/>
        <v>tech67</v>
      </c>
      <c r="BR99" s="27" t="e">
        <f t="shared" ca="1" si="415"/>
        <v>#VALUE!</v>
      </c>
      <c r="BS99" s="27">
        <f t="shared" ca="1" si="416"/>
        <v>17.700000000000003</v>
      </c>
      <c r="BT99" s="27" t="e">
        <f t="shared" ca="1" si="417"/>
        <v>#VALUE!</v>
      </c>
      <c r="BU99" s="27">
        <f t="shared" ca="1" si="418"/>
        <v>20.059999999999999</v>
      </c>
      <c r="BV99" s="27">
        <v>17.5</v>
      </c>
      <c r="BW99" s="27">
        <f t="shared" ca="1" si="419"/>
        <v>19.750000000000004</v>
      </c>
      <c r="BX99" s="27" t="e">
        <f t="shared" ca="1" si="420"/>
        <v>#VALUE!</v>
      </c>
      <c r="BY99" s="27">
        <f t="shared" ca="1" si="421"/>
        <v>7.14</v>
      </c>
      <c r="BZ99" s="45">
        <f t="shared" ca="1" si="422"/>
        <v>12.754999999999999</v>
      </c>
      <c r="CC99" s="53" t="str">
        <f t="shared" si="423"/>
        <v>gr6</v>
      </c>
      <c r="CD99" s="54" t="str">
        <f t="shared" si="424"/>
        <v>6bios2</v>
      </c>
      <c r="CE99" s="54" t="str">
        <f t="shared" si="425"/>
        <v>tech67</v>
      </c>
      <c r="CF99" s="27" t="e">
        <f t="shared" ca="1" si="426"/>
        <v>#VALUE!</v>
      </c>
      <c r="CG99" s="27">
        <f t="shared" ca="1" si="427"/>
        <v>0.5</v>
      </c>
      <c r="CH99" s="27" t="e">
        <f t="shared" ca="1" si="428"/>
        <v>#VALUE!</v>
      </c>
      <c r="CI99" s="27">
        <f t="shared" ca="1" si="429"/>
        <v>0.5</v>
      </c>
      <c r="CJ99" s="27">
        <v>0.5</v>
      </c>
      <c r="CK99" s="27">
        <f t="shared" ca="1" si="430"/>
        <v>0.5</v>
      </c>
      <c r="CL99" s="27" t="e">
        <f t="shared" ca="1" si="431"/>
        <v>#VALUE!</v>
      </c>
      <c r="CM99" s="27">
        <f t="shared" ca="1" si="432"/>
        <v>0.5</v>
      </c>
      <c r="CN99" s="45">
        <f t="shared" ca="1" si="433"/>
        <v>0.5</v>
      </c>
    </row>
    <row r="100" spans="3:92" x14ac:dyDescent="0.25">
      <c r="C100" t="str">
        <f t="shared" si="434"/>
        <v>gr6</v>
      </c>
      <c r="D100" t="s">
        <v>119</v>
      </c>
      <c r="E100" t="s">
        <v>98</v>
      </c>
      <c r="G100" s="12">
        <f t="shared" si="435"/>
        <v>12.5</v>
      </c>
      <c r="H100" s="13">
        <f t="shared" si="436"/>
        <v>18</v>
      </c>
      <c r="I100" s="13">
        <f t="shared" si="437"/>
        <v>24</v>
      </c>
      <c r="J100" s="13">
        <f t="shared" si="438"/>
        <v>20.079999999999998</v>
      </c>
      <c r="K100" s="13">
        <f t="shared" si="439"/>
        <v>17.7</v>
      </c>
      <c r="L100" s="13">
        <f t="shared" si="440"/>
        <v>19.600000000000001</v>
      </c>
      <c r="M100" s="13">
        <f t="shared" si="441"/>
        <v>13.12</v>
      </c>
      <c r="N100" s="13">
        <f t="shared" si="442"/>
        <v>7.04</v>
      </c>
      <c r="O100" s="14">
        <f t="shared" si="443"/>
        <v>13.2</v>
      </c>
      <c r="Q100" s="12">
        <f t="shared" ref="Q100:Y100" ca="1" si="458">Q99</f>
        <v>-0.05</v>
      </c>
      <c r="R100" s="13">
        <f t="shared" ca="1" si="458"/>
        <v>-8.0000000000000071E-2</v>
      </c>
      <c r="S100" s="13">
        <f t="shared" ca="1" si="458"/>
        <v>-2.0000000000000018E-2</v>
      </c>
      <c r="T100" s="13">
        <f t="shared" ca="1" si="458"/>
        <v>0.11000000000000001</v>
      </c>
      <c r="U100" s="13">
        <f t="shared" ca="1" si="458"/>
        <v>-0.03</v>
      </c>
      <c r="V100" s="13">
        <f t="shared" ca="1" si="458"/>
        <v>0.12000000000000002</v>
      </c>
      <c r="W100" s="13">
        <f t="shared" ca="1" si="458"/>
        <v>9.999999999999995E-3</v>
      </c>
      <c r="X100" s="13">
        <f t="shared" ca="1" si="458"/>
        <v>0.16999999999999998</v>
      </c>
      <c r="Y100" s="14">
        <f t="shared" ca="1" si="458"/>
        <v>-0.23499999999999999</v>
      </c>
      <c r="AA100" s="12">
        <f t="shared" ref="AA100:AI100" ca="1" si="459">RANDBETWEEN(0,AA116)/100-AA116/100/2</f>
        <v>-0.18</v>
      </c>
      <c r="AB100" s="13">
        <f t="shared" ca="1" si="459"/>
        <v>-0.16999999999999998</v>
      </c>
      <c r="AC100" s="13">
        <f t="shared" ca="1" si="459"/>
        <v>-0.14000000000000001</v>
      </c>
      <c r="AD100" s="13">
        <f t="shared" ca="1" si="459"/>
        <v>3.0000000000000027E-2</v>
      </c>
      <c r="AE100" s="13">
        <f t="shared" ca="1" si="459"/>
        <v>3.999999999999998E-2</v>
      </c>
      <c r="AF100" s="13">
        <f t="shared" ca="1" si="459"/>
        <v>9.9999999999999978E-2</v>
      </c>
      <c r="AG100" s="13">
        <f t="shared" ca="1" si="459"/>
        <v>1.0000000000000009E-2</v>
      </c>
      <c r="AH100" s="13">
        <f t="shared" ca="1" si="459"/>
        <v>-0.19</v>
      </c>
      <c r="AI100" s="14">
        <f t="shared" ca="1" si="459"/>
        <v>-0.1</v>
      </c>
      <c r="AK100" s="12"/>
      <c r="AL100" s="13"/>
      <c r="AM100" s="13" t="s">
        <v>18</v>
      </c>
      <c r="AN100" s="13"/>
      <c r="AO100" s="13" t="s">
        <v>25</v>
      </c>
      <c r="AP100" s="13"/>
      <c r="AQ100" s="13" t="s">
        <v>18</v>
      </c>
      <c r="AR100" s="13"/>
      <c r="AS100" s="14"/>
      <c r="AU100" s="12">
        <f t="shared" ca="1" si="403"/>
        <v>12.27</v>
      </c>
      <c r="AV100" s="13">
        <f t="shared" ca="1" si="404"/>
        <v>17.75</v>
      </c>
      <c r="AW100" s="13" t="e">
        <f t="shared" ca="1" si="405"/>
        <v>#VALUE!</v>
      </c>
      <c r="AX100" s="13">
        <f t="shared" ca="1" si="406"/>
        <v>20.22</v>
      </c>
      <c r="AY100" s="13" t="str">
        <f t="shared" ca="1" si="407"/>
        <v>16-18'</v>
      </c>
      <c r="AZ100" s="13">
        <f t="shared" ca="1" si="446"/>
        <v>19.820000000000004</v>
      </c>
      <c r="BA100" s="13" t="e">
        <f t="shared" ca="1" si="408"/>
        <v>#VALUE!</v>
      </c>
      <c r="BB100" s="13">
        <f t="shared" ca="1" si="409"/>
        <v>7.02</v>
      </c>
      <c r="BC100" s="14">
        <f t="shared" ca="1" si="410"/>
        <v>12.865</v>
      </c>
      <c r="BD100" s="15" t="str">
        <f t="shared" si="411"/>
        <v>gr6</v>
      </c>
      <c r="BE100" s="27">
        <f t="shared" ca="1" si="130"/>
        <v>12.27</v>
      </c>
      <c r="BF100" s="28">
        <f t="shared" ca="1" si="131"/>
        <v>17.75</v>
      </c>
      <c r="BG100" s="28" t="e">
        <f t="shared" ca="1" si="132"/>
        <v>#VALUE!</v>
      </c>
      <c r="BH100" s="28">
        <f t="shared" ca="1" si="133"/>
        <v>20.22</v>
      </c>
      <c r="BI100" s="28" t="s">
        <v>25</v>
      </c>
      <c r="BJ100" s="28">
        <f t="shared" ca="1" si="135"/>
        <v>19.820000000000004</v>
      </c>
      <c r="BK100" s="28" t="e">
        <f t="shared" ca="1" si="136"/>
        <v>#VALUE!</v>
      </c>
      <c r="BL100" s="28">
        <f t="shared" ca="1" si="137"/>
        <v>7.02</v>
      </c>
      <c r="BM100" s="29">
        <f t="shared" ca="1" si="138"/>
        <v>12.865</v>
      </c>
      <c r="BO100" s="44" t="str">
        <f t="shared" si="412"/>
        <v>gr6</v>
      </c>
      <c r="BP100" s="40" t="str">
        <f t="shared" si="413"/>
        <v>6bios2</v>
      </c>
      <c r="BQ100" s="40" t="str">
        <f t="shared" si="414"/>
        <v>tech68</v>
      </c>
      <c r="BR100" s="27">
        <f t="shared" ca="1" si="415"/>
        <v>12.27</v>
      </c>
      <c r="BS100" s="27">
        <f t="shared" ca="1" si="416"/>
        <v>17.75</v>
      </c>
      <c r="BT100" s="27" t="e">
        <f t="shared" ca="1" si="417"/>
        <v>#VALUE!</v>
      </c>
      <c r="BU100" s="27">
        <f t="shared" ca="1" si="418"/>
        <v>20.22</v>
      </c>
      <c r="BV100" s="27">
        <v>17</v>
      </c>
      <c r="BW100" s="27">
        <f t="shared" ca="1" si="419"/>
        <v>19.820000000000004</v>
      </c>
      <c r="BX100" s="27" t="e">
        <f t="shared" ca="1" si="420"/>
        <v>#VALUE!</v>
      </c>
      <c r="BY100" s="27">
        <f t="shared" ca="1" si="421"/>
        <v>7.02</v>
      </c>
      <c r="BZ100" s="45">
        <f t="shared" ca="1" si="422"/>
        <v>12.865</v>
      </c>
      <c r="CC100" s="53" t="str">
        <f t="shared" si="423"/>
        <v>gr6</v>
      </c>
      <c r="CD100" s="54" t="str">
        <f t="shared" si="424"/>
        <v>6bios2</v>
      </c>
      <c r="CE100" s="54" t="str">
        <f t="shared" si="425"/>
        <v>tech68</v>
      </c>
      <c r="CF100" s="27">
        <f t="shared" ca="1" si="426"/>
        <v>0.5</v>
      </c>
      <c r="CG100" s="27">
        <f t="shared" ca="1" si="427"/>
        <v>0.5</v>
      </c>
      <c r="CH100" s="27" t="e">
        <f t="shared" ca="1" si="428"/>
        <v>#VALUE!</v>
      </c>
      <c r="CI100" s="27">
        <f t="shared" ca="1" si="429"/>
        <v>0.5</v>
      </c>
      <c r="CJ100" s="27">
        <v>1</v>
      </c>
      <c r="CK100" s="27">
        <f t="shared" ca="1" si="430"/>
        <v>0.5</v>
      </c>
      <c r="CL100" s="27" t="e">
        <f t="shared" ca="1" si="431"/>
        <v>#VALUE!</v>
      </c>
      <c r="CM100" s="27">
        <f t="shared" ca="1" si="432"/>
        <v>0.5</v>
      </c>
      <c r="CN100" s="45">
        <f t="shared" ca="1" si="433"/>
        <v>0.5</v>
      </c>
    </row>
    <row r="101" spans="3:92" x14ac:dyDescent="0.25">
      <c r="C101" t="str">
        <f t="shared" si="434"/>
        <v>gr6</v>
      </c>
      <c r="D101" t="s">
        <v>120</v>
      </c>
      <c r="E101" t="s">
        <v>99</v>
      </c>
      <c r="G101" s="7">
        <f t="shared" si="435"/>
        <v>12.5</v>
      </c>
      <c r="H101" s="8">
        <f t="shared" si="436"/>
        <v>18</v>
      </c>
      <c r="I101" s="8">
        <f t="shared" si="437"/>
        <v>24</v>
      </c>
      <c r="J101" s="8">
        <f t="shared" si="438"/>
        <v>20.079999999999998</v>
      </c>
      <c r="K101" s="8">
        <f t="shared" si="439"/>
        <v>17.7</v>
      </c>
      <c r="L101" s="8">
        <f t="shared" si="440"/>
        <v>19.600000000000001</v>
      </c>
      <c r="M101" s="8">
        <f t="shared" si="441"/>
        <v>13.12</v>
      </c>
      <c r="N101" s="8">
        <f t="shared" si="442"/>
        <v>7.04</v>
      </c>
      <c r="O101" s="9">
        <f t="shared" si="443"/>
        <v>13.2</v>
      </c>
      <c r="Q101" s="7">
        <f t="shared" ref="Q101:Y101" ca="1" si="460">RANDBETWEEN(0,Q116)/100-Q116/100/2</f>
        <v>-0.1</v>
      </c>
      <c r="R101" s="8">
        <f t="shared" ca="1" si="460"/>
        <v>0.31000000000000005</v>
      </c>
      <c r="S101" s="8">
        <f t="shared" ca="1" si="460"/>
        <v>0</v>
      </c>
      <c r="T101" s="8">
        <f t="shared" ca="1" si="460"/>
        <v>5.0000000000000017E-2</v>
      </c>
      <c r="U101" s="8">
        <f t="shared" ca="1" si="460"/>
        <v>-0.05</v>
      </c>
      <c r="V101" s="8">
        <f t="shared" ca="1" si="460"/>
        <v>-0.13</v>
      </c>
      <c r="W101" s="8">
        <f t="shared" ca="1" si="460"/>
        <v>9.999999999999995E-3</v>
      </c>
      <c r="X101" s="8">
        <f t="shared" ca="1" si="460"/>
        <v>-0.03</v>
      </c>
      <c r="Y101" s="9">
        <f t="shared" ca="1" si="460"/>
        <v>0.16500000000000004</v>
      </c>
      <c r="AA101" s="7">
        <f t="shared" ref="AA101:AI101" ca="1" si="461">RANDBETWEEN(0,AA116)/100-AA116/100/2</f>
        <v>0.13</v>
      </c>
      <c r="AB101" s="8">
        <f t="shared" ca="1" si="461"/>
        <v>0.13</v>
      </c>
      <c r="AC101" s="8">
        <f t="shared" ca="1" si="461"/>
        <v>-0.12</v>
      </c>
      <c r="AD101" s="8">
        <f t="shared" ca="1" si="461"/>
        <v>0.21000000000000002</v>
      </c>
      <c r="AE101" s="8">
        <f t="shared" ca="1" si="461"/>
        <v>-0.10999999999999999</v>
      </c>
      <c r="AF101" s="8">
        <f t="shared" ca="1" si="461"/>
        <v>0.15000000000000002</v>
      </c>
      <c r="AG101" s="8">
        <f t="shared" ca="1" si="461"/>
        <v>0</v>
      </c>
      <c r="AH101" s="8">
        <f t="shared" ca="1" si="461"/>
        <v>-0.21</v>
      </c>
      <c r="AI101" s="9">
        <f t="shared" ca="1" si="461"/>
        <v>-4.9999999999999989E-2</v>
      </c>
      <c r="AK101" s="7"/>
      <c r="AL101" s="8"/>
      <c r="AM101" s="8" t="s">
        <v>18</v>
      </c>
      <c r="AN101" s="8"/>
      <c r="AO101" s="8" t="s">
        <v>122</v>
      </c>
      <c r="AP101" s="8"/>
      <c r="AQ101" s="8" t="s">
        <v>18</v>
      </c>
      <c r="AR101" s="8"/>
      <c r="AS101" s="9" t="s">
        <v>18</v>
      </c>
      <c r="AU101" s="10">
        <f t="shared" ca="1" si="403"/>
        <v>12.530000000000001</v>
      </c>
      <c r="AV101" s="6">
        <f t="shared" ca="1" si="404"/>
        <v>18.439999999999998</v>
      </c>
      <c r="AW101" s="6" t="e">
        <f t="shared" ca="1" si="405"/>
        <v>#VALUE!</v>
      </c>
      <c r="AX101" s="6">
        <f t="shared" ca="1" si="406"/>
        <v>20.34</v>
      </c>
      <c r="AY101" s="6" t="str">
        <f t="shared" ca="1" si="407"/>
        <v>18-25'</v>
      </c>
      <c r="AZ101" s="6">
        <f t="shared" ca="1" si="446"/>
        <v>19.62</v>
      </c>
      <c r="BA101" s="6" t="e">
        <f t="shared" ca="1" si="408"/>
        <v>#VALUE!</v>
      </c>
      <c r="BB101" s="6">
        <f t="shared" ca="1" si="409"/>
        <v>6.8</v>
      </c>
      <c r="BC101" s="11" t="e">
        <f t="shared" ca="1" si="410"/>
        <v>#VALUE!</v>
      </c>
      <c r="BD101" s="15" t="str">
        <f t="shared" si="411"/>
        <v>gr6</v>
      </c>
      <c r="BE101" s="24">
        <f t="shared" ca="1" si="130"/>
        <v>12.530000000000001</v>
      </c>
      <c r="BF101" s="25">
        <f t="shared" ca="1" si="131"/>
        <v>18.439999999999998</v>
      </c>
      <c r="BG101" s="25" t="e">
        <f t="shared" ca="1" si="132"/>
        <v>#VALUE!</v>
      </c>
      <c r="BH101" s="25">
        <f t="shared" ca="1" si="133"/>
        <v>20.34</v>
      </c>
      <c r="BI101" s="25" t="s">
        <v>122</v>
      </c>
      <c r="BJ101" s="25">
        <f t="shared" ca="1" si="135"/>
        <v>19.62</v>
      </c>
      <c r="BK101" s="25" t="e">
        <f t="shared" ca="1" si="136"/>
        <v>#VALUE!</v>
      </c>
      <c r="BL101" s="25">
        <f t="shared" ca="1" si="137"/>
        <v>6.8</v>
      </c>
      <c r="BM101" s="26" t="e">
        <f t="shared" ca="1" si="138"/>
        <v>#VALUE!</v>
      </c>
      <c r="BO101" s="44" t="str">
        <f t="shared" si="412"/>
        <v>gr6</v>
      </c>
      <c r="BP101" s="40" t="str">
        <f t="shared" si="413"/>
        <v>6bios3</v>
      </c>
      <c r="BQ101" s="40" t="str">
        <f t="shared" si="414"/>
        <v>tech69</v>
      </c>
      <c r="BR101" s="27">
        <f t="shared" ca="1" si="415"/>
        <v>12.530000000000001</v>
      </c>
      <c r="BS101" s="27">
        <f t="shared" ca="1" si="416"/>
        <v>18.439999999999998</v>
      </c>
      <c r="BT101" s="27" t="e">
        <f t="shared" ca="1" si="417"/>
        <v>#VALUE!</v>
      </c>
      <c r="BU101" s="27">
        <f t="shared" ca="1" si="418"/>
        <v>20.34</v>
      </c>
      <c r="BV101" s="27">
        <v>21.5</v>
      </c>
      <c r="BW101" s="27">
        <f t="shared" ca="1" si="419"/>
        <v>19.62</v>
      </c>
      <c r="BX101" s="27" t="e">
        <f t="shared" ca="1" si="420"/>
        <v>#VALUE!</v>
      </c>
      <c r="BY101" s="27">
        <f t="shared" ca="1" si="421"/>
        <v>6.8</v>
      </c>
      <c r="BZ101" s="45" t="e">
        <f t="shared" ca="1" si="422"/>
        <v>#VALUE!</v>
      </c>
      <c r="CC101" s="53" t="str">
        <f t="shared" si="423"/>
        <v>gr6</v>
      </c>
      <c r="CD101" s="54" t="str">
        <f t="shared" si="424"/>
        <v>6bios3</v>
      </c>
      <c r="CE101" s="54" t="str">
        <f t="shared" si="425"/>
        <v>tech69</v>
      </c>
      <c r="CF101" s="27">
        <f t="shared" ca="1" si="426"/>
        <v>0.5</v>
      </c>
      <c r="CG101" s="27">
        <f t="shared" ca="1" si="427"/>
        <v>0.5</v>
      </c>
      <c r="CH101" s="27" t="e">
        <f t="shared" ca="1" si="428"/>
        <v>#VALUE!</v>
      </c>
      <c r="CI101" s="27">
        <f t="shared" ca="1" si="429"/>
        <v>0.5</v>
      </c>
      <c r="CJ101" s="27">
        <v>3.5</v>
      </c>
      <c r="CK101" s="27">
        <f t="shared" ca="1" si="430"/>
        <v>0.5</v>
      </c>
      <c r="CL101" s="27" t="e">
        <f t="shared" ca="1" si="431"/>
        <v>#VALUE!</v>
      </c>
      <c r="CM101" s="27">
        <f t="shared" ca="1" si="432"/>
        <v>0.5</v>
      </c>
      <c r="CN101" s="45" t="e">
        <f t="shared" ca="1" si="433"/>
        <v>#VALUE!</v>
      </c>
    </row>
    <row r="102" spans="3:92" x14ac:dyDescent="0.25">
      <c r="C102" t="str">
        <f t="shared" si="434"/>
        <v>gr6</v>
      </c>
      <c r="D102" t="s">
        <v>120</v>
      </c>
      <c r="E102" t="s">
        <v>100</v>
      </c>
      <c r="G102" s="10">
        <f t="shared" si="435"/>
        <v>12.5</v>
      </c>
      <c r="H102" s="6">
        <f t="shared" si="436"/>
        <v>18</v>
      </c>
      <c r="I102" s="6">
        <f t="shared" si="437"/>
        <v>24</v>
      </c>
      <c r="J102" s="6">
        <f t="shared" si="438"/>
        <v>20.079999999999998</v>
      </c>
      <c r="K102" s="6">
        <f t="shared" si="439"/>
        <v>17.7</v>
      </c>
      <c r="L102" s="6">
        <f t="shared" si="440"/>
        <v>19.600000000000001</v>
      </c>
      <c r="M102" s="6">
        <f t="shared" si="441"/>
        <v>13.12</v>
      </c>
      <c r="N102" s="6">
        <f t="shared" si="442"/>
        <v>7.04</v>
      </c>
      <c r="O102" s="11">
        <f t="shared" si="443"/>
        <v>13.2</v>
      </c>
      <c r="Q102" s="10">
        <f t="shared" ref="Q102:Y102" ca="1" si="462">Q101</f>
        <v>-0.1</v>
      </c>
      <c r="R102" s="6">
        <f t="shared" ca="1" si="462"/>
        <v>0.31000000000000005</v>
      </c>
      <c r="S102" s="6">
        <f t="shared" ca="1" si="462"/>
        <v>0</v>
      </c>
      <c r="T102" s="6">
        <f t="shared" ca="1" si="462"/>
        <v>5.0000000000000017E-2</v>
      </c>
      <c r="U102" s="6">
        <f t="shared" ca="1" si="462"/>
        <v>-0.05</v>
      </c>
      <c r="V102" s="6">
        <f t="shared" ca="1" si="462"/>
        <v>-0.13</v>
      </c>
      <c r="W102" s="6">
        <f t="shared" ca="1" si="462"/>
        <v>9.999999999999995E-3</v>
      </c>
      <c r="X102" s="6">
        <f t="shared" ca="1" si="462"/>
        <v>-0.03</v>
      </c>
      <c r="Y102" s="11">
        <f t="shared" ca="1" si="462"/>
        <v>0.16500000000000004</v>
      </c>
      <c r="AA102" s="10">
        <f t="shared" ref="AA102:AI102" ca="1" si="463">RANDBETWEEN(0,AA116)/100-AA116/100/2</f>
        <v>-7.0000000000000007E-2</v>
      </c>
      <c r="AB102" s="6">
        <f t="shared" ca="1" si="463"/>
        <v>-1.999999999999999E-2</v>
      </c>
      <c r="AC102" s="6">
        <f t="shared" ca="1" si="463"/>
        <v>-0.16</v>
      </c>
      <c r="AD102" s="6">
        <f t="shared" ca="1" si="463"/>
        <v>0.16999999999999998</v>
      </c>
      <c r="AE102" s="6">
        <f t="shared" ca="1" si="463"/>
        <v>0.22999999999999998</v>
      </c>
      <c r="AF102" s="6">
        <f t="shared" ca="1" si="463"/>
        <v>-0.10999999999999999</v>
      </c>
      <c r="AG102" s="6">
        <f t="shared" ca="1" si="463"/>
        <v>-0.22</v>
      </c>
      <c r="AH102" s="6">
        <f t="shared" ca="1" si="463"/>
        <v>0.14000000000000001</v>
      </c>
      <c r="AI102" s="11">
        <f t="shared" ca="1" si="463"/>
        <v>-0.23</v>
      </c>
      <c r="AK102" s="10"/>
      <c r="AL102" s="6"/>
      <c r="AM102" s="6" t="s">
        <v>18</v>
      </c>
      <c r="AN102" s="6"/>
      <c r="AO102" s="6" t="s">
        <v>123</v>
      </c>
      <c r="AP102" s="6"/>
      <c r="AQ102" s="6" t="s">
        <v>18</v>
      </c>
      <c r="AR102" s="6"/>
      <c r="AS102" s="11"/>
      <c r="AU102" s="10">
        <f t="shared" ca="1" si="403"/>
        <v>12.33</v>
      </c>
      <c r="AV102" s="6">
        <f t="shared" ca="1" si="404"/>
        <v>18.29</v>
      </c>
      <c r="AW102" s="6" t="e">
        <f t="shared" ca="1" si="405"/>
        <v>#VALUE!</v>
      </c>
      <c r="AX102" s="6">
        <f t="shared" ca="1" si="406"/>
        <v>20.3</v>
      </c>
      <c r="AY102" s="6" t="str">
        <f t="shared" ca="1" si="407"/>
        <v>17-23'</v>
      </c>
      <c r="AZ102" s="6">
        <f t="shared" ca="1" si="446"/>
        <v>19.360000000000003</v>
      </c>
      <c r="BA102" s="6" t="e">
        <f t="shared" ca="1" si="408"/>
        <v>#VALUE!</v>
      </c>
      <c r="BB102" s="6">
        <f t="shared" ca="1" si="409"/>
        <v>7.1499999999999995</v>
      </c>
      <c r="BC102" s="11">
        <f t="shared" ca="1" si="410"/>
        <v>13.134999999999998</v>
      </c>
      <c r="BD102" s="15" t="str">
        <f t="shared" si="411"/>
        <v>gr6</v>
      </c>
      <c r="BE102" s="27">
        <f t="shared" ca="1" si="130"/>
        <v>12.33</v>
      </c>
      <c r="BF102" s="28">
        <f t="shared" ca="1" si="131"/>
        <v>18.29</v>
      </c>
      <c r="BG102" s="28" t="e">
        <f t="shared" ca="1" si="132"/>
        <v>#VALUE!</v>
      </c>
      <c r="BH102" s="28">
        <f t="shared" ca="1" si="133"/>
        <v>20.3</v>
      </c>
      <c r="BI102" s="28" t="s">
        <v>123</v>
      </c>
      <c r="BJ102" s="28">
        <f t="shared" ca="1" si="135"/>
        <v>19.360000000000003</v>
      </c>
      <c r="BK102" s="28" t="e">
        <f t="shared" ca="1" si="136"/>
        <v>#VALUE!</v>
      </c>
      <c r="BL102" s="28">
        <f t="shared" ca="1" si="137"/>
        <v>7.1499999999999995</v>
      </c>
      <c r="BM102" s="29">
        <f t="shared" ca="1" si="138"/>
        <v>13.134999999999998</v>
      </c>
      <c r="BO102" s="44" t="str">
        <f t="shared" si="412"/>
        <v>gr6</v>
      </c>
      <c r="BP102" s="40" t="str">
        <f t="shared" si="413"/>
        <v>6bios3</v>
      </c>
      <c r="BQ102" s="40" t="str">
        <f t="shared" si="414"/>
        <v>tech70</v>
      </c>
      <c r="BR102" s="27">
        <f t="shared" ca="1" si="415"/>
        <v>12.33</v>
      </c>
      <c r="BS102" s="27">
        <f t="shared" ca="1" si="416"/>
        <v>18.29</v>
      </c>
      <c r="BT102" s="27" t="e">
        <f t="shared" ca="1" si="417"/>
        <v>#VALUE!</v>
      </c>
      <c r="BU102" s="27">
        <f t="shared" ca="1" si="418"/>
        <v>20.3</v>
      </c>
      <c r="BV102" s="27">
        <v>20</v>
      </c>
      <c r="BW102" s="27">
        <f t="shared" ca="1" si="419"/>
        <v>19.360000000000003</v>
      </c>
      <c r="BX102" s="27" t="e">
        <f t="shared" ca="1" si="420"/>
        <v>#VALUE!</v>
      </c>
      <c r="BY102" s="27">
        <f t="shared" ca="1" si="421"/>
        <v>7.1499999999999995</v>
      </c>
      <c r="BZ102" s="45">
        <f t="shared" ca="1" si="422"/>
        <v>13.134999999999998</v>
      </c>
      <c r="CC102" s="53" t="str">
        <f t="shared" si="423"/>
        <v>gr6</v>
      </c>
      <c r="CD102" s="54" t="str">
        <f t="shared" si="424"/>
        <v>6bios3</v>
      </c>
      <c r="CE102" s="54" t="str">
        <f t="shared" si="425"/>
        <v>tech70</v>
      </c>
      <c r="CF102" s="27">
        <f t="shared" ca="1" si="426"/>
        <v>0.5</v>
      </c>
      <c r="CG102" s="27">
        <f t="shared" ca="1" si="427"/>
        <v>0.5</v>
      </c>
      <c r="CH102" s="27" t="e">
        <f t="shared" ca="1" si="428"/>
        <v>#VALUE!</v>
      </c>
      <c r="CI102" s="27">
        <f t="shared" ca="1" si="429"/>
        <v>0.5</v>
      </c>
      <c r="CJ102" s="27">
        <v>3</v>
      </c>
      <c r="CK102" s="27">
        <f t="shared" ca="1" si="430"/>
        <v>0.5</v>
      </c>
      <c r="CL102" s="27" t="e">
        <f t="shared" ca="1" si="431"/>
        <v>#VALUE!</v>
      </c>
      <c r="CM102" s="27">
        <f t="shared" ca="1" si="432"/>
        <v>0.5</v>
      </c>
      <c r="CN102" s="45">
        <f t="shared" ca="1" si="433"/>
        <v>0.5</v>
      </c>
    </row>
    <row r="103" spans="3:92" x14ac:dyDescent="0.25">
      <c r="C103" t="str">
        <f t="shared" si="434"/>
        <v>gr6</v>
      </c>
      <c r="D103" t="s">
        <v>120</v>
      </c>
      <c r="E103" t="s">
        <v>101</v>
      </c>
      <c r="G103" s="10">
        <f t="shared" si="435"/>
        <v>12.5</v>
      </c>
      <c r="H103" s="6">
        <f t="shared" si="436"/>
        <v>18</v>
      </c>
      <c r="I103" s="6">
        <f t="shared" si="437"/>
        <v>24</v>
      </c>
      <c r="J103" s="6">
        <f t="shared" si="438"/>
        <v>20.079999999999998</v>
      </c>
      <c r="K103" s="6">
        <f t="shared" si="439"/>
        <v>17.7</v>
      </c>
      <c r="L103" s="6">
        <f t="shared" si="440"/>
        <v>19.600000000000001</v>
      </c>
      <c r="M103" s="6">
        <f t="shared" si="441"/>
        <v>13.12</v>
      </c>
      <c r="N103" s="6">
        <f t="shared" si="442"/>
        <v>7.04</v>
      </c>
      <c r="O103" s="11">
        <f t="shared" si="443"/>
        <v>13.2</v>
      </c>
      <c r="Q103" s="10">
        <f t="shared" ref="Q103:Y103" ca="1" si="464">Q102</f>
        <v>-0.1</v>
      </c>
      <c r="R103" s="6">
        <f t="shared" ca="1" si="464"/>
        <v>0.31000000000000005</v>
      </c>
      <c r="S103" s="6">
        <f t="shared" ca="1" si="464"/>
        <v>0</v>
      </c>
      <c r="T103" s="6">
        <f t="shared" ca="1" si="464"/>
        <v>5.0000000000000017E-2</v>
      </c>
      <c r="U103" s="6">
        <f t="shared" ca="1" si="464"/>
        <v>-0.05</v>
      </c>
      <c r="V103" s="6">
        <f t="shared" ca="1" si="464"/>
        <v>-0.13</v>
      </c>
      <c r="W103" s="6">
        <f t="shared" ca="1" si="464"/>
        <v>9.999999999999995E-3</v>
      </c>
      <c r="X103" s="6">
        <f t="shared" ca="1" si="464"/>
        <v>-0.03</v>
      </c>
      <c r="Y103" s="11">
        <f t="shared" ca="1" si="464"/>
        <v>0.16500000000000004</v>
      </c>
      <c r="AA103" s="10">
        <f t="shared" ref="AA103:AI103" ca="1" si="465">RANDBETWEEN(0,AA116)/100-AA116/100/2</f>
        <v>0.12</v>
      </c>
      <c r="AB103" s="6">
        <f t="shared" ca="1" si="465"/>
        <v>-0.15</v>
      </c>
      <c r="AC103" s="6">
        <f t="shared" ca="1" si="465"/>
        <v>-0.25</v>
      </c>
      <c r="AD103" s="6">
        <f t="shared" ca="1" si="465"/>
        <v>0.13</v>
      </c>
      <c r="AE103" s="6">
        <f t="shared" ca="1" si="465"/>
        <v>-0.15</v>
      </c>
      <c r="AF103" s="6">
        <f t="shared" ca="1" si="465"/>
        <v>0.16999999999999998</v>
      </c>
      <c r="AG103" s="6">
        <f t="shared" ca="1" si="465"/>
        <v>1.0000000000000009E-2</v>
      </c>
      <c r="AH103" s="6">
        <f t="shared" ca="1" si="465"/>
        <v>0.15000000000000002</v>
      </c>
      <c r="AI103" s="11">
        <f t="shared" ca="1" si="465"/>
        <v>-0.16999999999999998</v>
      </c>
      <c r="AK103" s="10"/>
      <c r="AL103" s="6"/>
      <c r="AM103" s="6" t="s">
        <v>18</v>
      </c>
      <c r="AN103" s="6" t="s">
        <v>18</v>
      </c>
      <c r="AO103" s="6" t="s">
        <v>124</v>
      </c>
      <c r="AP103" s="6"/>
      <c r="AQ103" s="6" t="s">
        <v>18</v>
      </c>
      <c r="AR103" s="6">
        <v>2</v>
      </c>
      <c r="AS103" s="11"/>
      <c r="AU103" s="10">
        <f t="shared" ca="1" si="403"/>
        <v>12.52</v>
      </c>
      <c r="AV103" s="6">
        <f t="shared" ca="1" si="404"/>
        <v>18.16</v>
      </c>
      <c r="AW103" s="6" t="e">
        <f t="shared" ca="1" si="405"/>
        <v>#VALUE!</v>
      </c>
      <c r="AX103" s="6" t="e">
        <f t="shared" ca="1" si="406"/>
        <v>#VALUE!</v>
      </c>
      <c r="AY103" s="6" t="str">
        <f t="shared" ca="1" si="407"/>
        <v>13-19'</v>
      </c>
      <c r="AZ103" s="6">
        <f t="shared" ca="1" si="446"/>
        <v>19.640000000000004</v>
      </c>
      <c r="BA103" s="6" t="e">
        <f t="shared" ca="1" si="408"/>
        <v>#VALUE!</v>
      </c>
      <c r="BB103" s="6">
        <f t="shared" ca="1" si="409"/>
        <v>9.16</v>
      </c>
      <c r="BC103" s="11">
        <f t="shared" ca="1" si="410"/>
        <v>13.194999999999999</v>
      </c>
      <c r="BD103" s="15" t="str">
        <f t="shared" si="411"/>
        <v>gr6</v>
      </c>
      <c r="BE103" s="27">
        <f t="shared" ca="1" si="130"/>
        <v>12.52</v>
      </c>
      <c r="BF103" s="28">
        <f t="shared" ca="1" si="131"/>
        <v>18.16</v>
      </c>
      <c r="BG103" s="28" t="e">
        <f t="shared" ca="1" si="132"/>
        <v>#VALUE!</v>
      </c>
      <c r="BH103" s="28" t="e">
        <f t="shared" ca="1" si="133"/>
        <v>#VALUE!</v>
      </c>
      <c r="BI103" s="28" t="s">
        <v>124</v>
      </c>
      <c r="BJ103" s="28">
        <f t="shared" ca="1" si="135"/>
        <v>19.640000000000004</v>
      </c>
      <c r="BK103" s="28" t="e">
        <f t="shared" ca="1" si="136"/>
        <v>#VALUE!</v>
      </c>
      <c r="BL103" s="28">
        <f t="shared" ca="1" si="137"/>
        <v>9.16</v>
      </c>
      <c r="BM103" s="29">
        <f t="shared" ca="1" si="138"/>
        <v>13.194999999999999</v>
      </c>
      <c r="BO103" s="44" t="str">
        <f t="shared" si="412"/>
        <v>gr6</v>
      </c>
      <c r="BP103" s="40" t="str">
        <f t="shared" si="413"/>
        <v>6bios3</v>
      </c>
      <c r="BQ103" s="40" t="str">
        <f t="shared" si="414"/>
        <v>tech71</v>
      </c>
      <c r="BR103" s="27">
        <f t="shared" ca="1" si="415"/>
        <v>12.52</v>
      </c>
      <c r="BS103" s="27">
        <f t="shared" ca="1" si="416"/>
        <v>18.16</v>
      </c>
      <c r="BT103" s="27" t="e">
        <f t="shared" ca="1" si="417"/>
        <v>#VALUE!</v>
      </c>
      <c r="BU103" s="27" t="e">
        <f t="shared" ca="1" si="418"/>
        <v>#VALUE!</v>
      </c>
      <c r="BV103" s="27">
        <v>16</v>
      </c>
      <c r="BW103" s="27">
        <f t="shared" ca="1" si="419"/>
        <v>19.640000000000004</v>
      </c>
      <c r="BX103" s="27" t="e">
        <f t="shared" ca="1" si="420"/>
        <v>#VALUE!</v>
      </c>
      <c r="BY103" s="27">
        <f t="shared" ca="1" si="421"/>
        <v>9.16</v>
      </c>
      <c r="BZ103" s="45">
        <f t="shared" ca="1" si="422"/>
        <v>13.194999999999999</v>
      </c>
      <c r="CC103" s="53" t="str">
        <f t="shared" si="423"/>
        <v>gr6</v>
      </c>
      <c r="CD103" s="54" t="str">
        <f t="shared" si="424"/>
        <v>6bios3</v>
      </c>
      <c r="CE103" s="54" t="str">
        <f t="shared" si="425"/>
        <v>tech71</v>
      </c>
      <c r="CF103" s="27">
        <f t="shared" ca="1" si="426"/>
        <v>0.5</v>
      </c>
      <c r="CG103" s="27">
        <f t="shared" ca="1" si="427"/>
        <v>0.5</v>
      </c>
      <c r="CH103" s="27" t="e">
        <f t="shared" ca="1" si="428"/>
        <v>#VALUE!</v>
      </c>
      <c r="CI103" s="27" t="e">
        <f t="shared" ca="1" si="429"/>
        <v>#VALUE!</v>
      </c>
      <c r="CJ103" s="27">
        <v>3</v>
      </c>
      <c r="CK103" s="27">
        <f t="shared" ca="1" si="430"/>
        <v>0.5</v>
      </c>
      <c r="CL103" s="27" t="e">
        <f t="shared" ca="1" si="431"/>
        <v>#VALUE!</v>
      </c>
      <c r="CM103" s="27">
        <f t="shared" ca="1" si="432"/>
        <v>0.5</v>
      </c>
      <c r="CN103" s="45">
        <f t="shared" ca="1" si="433"/>
        <v>0.5</v>
      </c>
    </row>
    <row r="104" spans="3:92" ht="15.75" thickBot="1" x14ac:dyDescent="0.3">
      <c r="C104" t="str">
        <f t="shared" si="434"/>
        <v>gr6</v>
      </c>
      <c r="D104" t="s">
        <v>120</v>
      </c>
      <c r="E104" t="s">
        <v>102</v>
      </c>
      <c r="G104" s="12">
        <f t="shared" si="435"/>
        <v>12.5</v>
      </c>
      <c r="H104" s="13">
        <f t="shared" si="436"/>
        <v>18</v>
      </c>
      <c r="I104" s="13">
        <f t="shared" si="437"/>
        <v>24</v>
      </c>
      <c r="J104" s="13">
        <f t="shared" si="438"/>
        <v>20.079999999999998</v>
      </c>
      <c r="K104" s="13">
        <f t="shared" si="439"/>
        <v>17.7</v>
      </c>
      <c r="L104" s="13">
        <f t="shared" si="440"/>
        <v>19.600000000000001</v>
      </c>
      <c r="M104" s="13">
        <f t="shared" si="441"/>
        <v>13.12</v>
      </c>
      <c r="N104" s="13">
        <f t="shared" si="442"/>
        <v>7.04</v>
      </c>
      <c r="O104" s="14">
        <f t="shared" si="443"/>
        <v>13.2</v>
      </c>
      <c r="Q104" s="12">
        <f t="shared" ref="Q104:Y104" ca="1" si="466">Q103</f>
        <v>-0.1</v>
      </c>
      <c r="R104" s="13">
        <f t="shared" ca="1" si="466"/>
        <v>0.31000000000000005</v>
      </c>
      <c r="S104" s="13">
        <f t="shared" ca="1" si="466"/>
        <v>0</v>
      </c>
      <c r="T104" s="13">
        <f t="shared" ca="1" si="466"/>
        <v>5.0000000000000017E-2</v>
      </c>
      <c r="U104" s="13">
        <f t="shared" ca="1" si="466"/>
        <v>-0.05</v>
      </c>
      <c r="V104" s="13">
        <f t="shared" ca="1" si="466"/>
        <v>-0.13</v>
      </c>
      <c r="W104" s="13">
        <f t="shared" ca="1" si="466"/>
        <v>9.999999999999995E-3</v>
      </c>
      <c r="X104" s="13">
        <f t="shared" ca="1" si="466"/>
        <v>-0.03</v>
      </c>
      <c r="Y104" s="14">
        <f t="shared" ca="1" si="466"/>
        <v>0.16500000000000004</v>
      </c>
      <c r="AA104" s="12">
        <f t="shared" ref="AA104:AI104" ca="1" si="467">RANDBETWEEN(0,AA116)/100-AA116/100/2</f>
        <v>-0.24</v>
      </c>
      <c r="AB104" s="13">
        <f t="shared" ca="1" si="467"/>
        <v>7.0000000000000007E-2</v>
      </c>
      <c r="AC104" s="13">
        <f t="shared" ca="1" si="467"/>
        <v>0.15999999999999998</v>
      </c>
      <c r="AD104" s="13">
        <f t="shared" ca="1" si="467"/>
        <v>-0.23</v>
      </c>
      <c r="AE104" s="13">
        <f t="shared" ca="1" si="467"/>
        <v>4.9999999999999989E-2</v>
      </c>
      <c r="AF104" s="13">
        <f t="shared" ca="1" si="467"/>
        <v>-0.03</v>
      </c>
      <c r="AG104" s="13">
        <f t="shared" ca="1" si="467"/>
        <v>-0.10999999999999999</v>
      </c>
      <c r="AH104" s="13">
        <f t="shared" ca="1" si="467"/>
        <v>-4.9999999999999989E-2</v>
      </c>
      <c r="AI104" s="14">
        <f t="shared" ca="1" si="467"/>
        <v>-0.16</v>
      </c>
      <c r="AK104" s="12">
        <v>1</v>
      </c>
      <c r="AL104" s="13"/>
      <c r="AM104" s="13" t="s">
        <v>18</v>
      </c>
      <c r="AN104" s="13"/>
      <c r="AO104" s="13" t="s">
        <v>125</v>
      </c>
      <c r="AP104" s="13"/>
      <c r="AQ104" s="13" t="s">
        <v>18</v>
      </c>
      <c r="AR104" s="13"/>
      <c r="AS104" s="14"/>
      <c r="AU104" s="12">
        <f t="shared" ca="1" si="403"/>
        <v>13.16</v>
      </c>
      <c r="AV104" s="13">
        <f t="shared" ca="1" si="404"/>
        <v>18.38</v>
      </c>
      <c r="AW104" s="13" t="e">
        <f t="shared" ca="1" si="405"/>
        <v>#VALUE!</v>
      </c>
      <c r="AX104" s="13">
        <f t="shared" ca="1" si="406"/>
        <v>19.899999999999999</v>
      </c>
      <c r="AY104" s="13" t="str">
        <f t="shared" ca="1" si="407"/>
        <v>16-22'</v>
      </c>
      <c r="AZ104" s="13">
        <f t="shared" ca="1" si="446"/>
        <v>19.440000000000001</v>
      </c>
      <c r="BA104" s="13" t="e">
        <f t="shared" ca="1" si="408"/>
        <v>#VALUE!</v>
      </c>
      <c r="BB104" s="13">
        <f t="shared" ca="1" si="409"/>
        <v>6.96</v>
      </c>
      <c r="BC104" s="14">
        <f t="shared" ca="1" si="410"/>
        <v>13.204999999999998</v>
      </c>
      <c r="BD104" s="15" t="str">
        <f t="shared" si="411"/>
        <v>gr6</v>
      </c>
      <c r="BE104" s="30">
        <f t="shared" ca="1" si="130"/>
        <v>13.16</v>
      </c>
      <c r="BF104" s="31">
        <f t="shared" ref="BF104" ca="1" si="468">IF(AV104&lt;$BE$26,"low",IF(AV104&gt;$BF$26,"high",AV104))</f>
        <v>18.38</v>
      </c>
      <c r="BG104" s="31" t="e">
        <f t="shared" ref="BG104" ca="1" si="469">IF(AW104&lt;$BE$26,"low",IF(AW104&gt;$BF$26,"high",AW104))</f>
        <v>#VALUE!</v>
      </c>
      <c r="BH104" s="31">
        <f t="shared" ref="BH104" ca="1" si="470">IF(AX104&lt;$BE$26,"low",IF(AX104&gt;$BF$26,"high",AX104))</f>
        <v>19.899999999999999</v>
      </c>
      <c r="BI104" s="31" t="s">
        <v>125</v>
      </c>
      <c r="BJ104" s="31">
        <f t="shared" ref="BJ104" ca="1" si="471">IF(AZ104&lt;$BE$26,"low",IF(AZ104&gt;$BF$26,"high",AZ104))</f>
        <v>19.440000000000001</v>
      </c>
      <c r="BK104" s="31" t="e">
        <f t="shared" ref="BK104" ca="1" si="472">IF(BA104&lt;$BE$26,"low",IF(BA104&gt;$BF$26,"high",BA104))</f>
        <v>#VALUE!</v>
      </c>
      <c r="BL104" s="31">
        <f t="shared" ref="BL104" ca="1" si="473">IF(BB104&lt;$BE$26,"low",IF(BB104&gt;$BF$26,"high",BB104))</f>
        <v>6.96</v>
      </c>
      <c r="BM104" s="32">
        <f t="shared" ref="BM104" ca="1" si="474">IF(BC104&lt;$BE$26,"low",IF(BC104&gt;$BF$26,"high",BC104))</f>
        <v>13.204999999999998</v>
      </c>
      <c r="BO104" s="46" t="str">
        <f t="shared" si="412"/>
        <v>gr6</v>
      </c>
      <c r="BP104" s="47" t="str">
        <f t="shared" si="413"/>
        <v>6bios3</v>
      </c>
      <c r="BQ104" s="47" t="str">
        <f t="shared" si="414"/>
        <v>tech72</v>
      </c>
      <c r="BR104" s="48">
        <f t="shared" ca="1" si="415"/>
        <v>13.16</v>
      </c>
      <c r="BS104" s="48">
        <f t="shared" ca="1" si="416"/>
        <v>18.38</v>
      </c>
      <c r="BT104" s="48" t="e">
        <f t="shared" ca="1" si="417"/>
        <v>#VALUE!</v>
      </c>
      <c r="BU104" s="48">
        <f t="shared" ca="1" si="418"/>
        <v>19.899999999999999</v>
      </c>
      <c r="BV104" s="48">
        <v>19</v>
      </c>
      <c r="BW104" s="48">
        <f t="shared" ca="1" si="419"/>
        <v>19.440000000000001</v>
      </c>
      <c r="BX104" s="48" t="e">
        <f t="shared" ca="1" si="420"/>
        <v>#VALUE!</v>
      </c>
      <c r="BY104" s="48">
        <f t="shared" ca="1" si="421"/>
        <v>6.96</v>
      </c>
      <c r="BZ104" s="49">
        <f t="shared" ca="1" si="422"/>
        <v>13.204999999999998</v>
      </c>
      <c r="CC104" s="55" t="str">
        <f t="shared" si="423"/>
        <v>gr6</v>
      </c>
      <c r="CD104" s="56" t="str">
        <f t="shared" si="424"/>
        <v>6bios3</v>
      </c>
      <c r="CE104" s="56" t="str">
        <f t="shared" si="425"/>
        <v>tech72</v>
      </c>
      <c r="CF104" s="48">
        <f t="shared" ca="1" si="426"/>
        <v>0.5</v>
      </c>
      <c r="CG104" s="48">
        <f t="shared" ca="1" si="427"/>
        <v>0.5</v>
      </c>
      <c r="CH104" s="48" t="e">
        <f t="shared" ca="1" si="428"/>
        <v>#VALUE!</v>
      </c>
      <c r="CI104" s="48">
        <f t="shared" ca="1" si="429"/>
        <v>0.5</v>
      </c>
      <c r="CJ104" s="48">
        <v>3</v>
      </c>
      <c r="CK104" s="48">
        <f t="shared" ca="1" si="430"/>
        <v>0.5</v>
      </c>
      <c r="CL104" s="48" t="e">
        <f t="shared" ca="1" si="431"/>
        <v>#VALUE!</v>
      </c>
      <c r="CM104" s="48">
        <f t="shared" ca="1" si="432"/>
        <v>0.5</v>
      </c>
      <c r="CN104" s="49">
        <f t="shared" ca="1" si="433"/>
        <v>0.5</v>
      </c>
    </row>
    <row r="108" spans="3:92" x14ac:dyDescent="0.25">
      <c r="AL108" s="34"/>
      <c r="AM108" s="34"/>
      <c r="AN108" s="34"/>
      <c r="AO108" s="34"/>
      <c r="AP108" s="34"/>
      <c r="AQ108" s="34"/>
      <c r="AR108" s="34"/>
      <c r="AS108" s="34"/>
      <c r="AT108" s="34"/>
      <c r="AU108" s="34"/>
      <c r="AV108" s="34"/>
      <c r="AW108" s="34"/>
      <c r="AX108" s="34"/>
      <c r="AY108" s="34"/>
      <c r="AZ108" s="34"/>
      <c r="BA108" s="34"/>
      <c r="BB108" s="34"/>
      <c r="BC108" s="34"/>
      <c r="BD108" s="34"/>
      <c r="BE108" s="34"/>
      <c r="BF108" s="34"/>
      <c r="BG108" s="34"/>
      <c r="BH108" s="34"/>
      <c r="BI108" s="34"/>
      <c r="BJ108" s="34"/>
      <c r="BK108" s="34"/>
      <c r="BL108" s="34"/>
      <c r="BM108" s="34"/>
    </row>
    <row r="109" spans="3:92" ht="24" thickBot="1" x14ac:dyDescent="0.4">
      <c r="AL109" s="34"/>
      <c r="AM109" s="35" t="s">
        <v>151</v>
      </c>
      <c r="AN109" s="34"/>
      <c r="AO109" s="34"/>
      <c r="AP109" s="34"/>
      <c r="AQ109" s="34"/>
      <c r="AR109" s="34"/>
      <c r="AS109" s="34"/>
      <c r="AT109" s="34"/>
      <c r="AU109" s="34"/>
      <c r="AV109" s="34"/>
      <c r="AW109" s="34"/>
      <c r="AX109" s="34"/>
      <c r="AY109" s="34"/>
      <c r="AZ109" s="34"/>
      <c r="BA109" s="34"/>
      <c r="BB109" s="35" t="s">
        <v>130</v>
      </c>
      <c r="BC109" s="34"/>
      <c r="BD109" s="34"/>
      <c r="BE109" s="34"/>
      <c r="BF109" s="34"/>
      <c r="BG109" s="34"/>
      <c r="BH109" s="34"/>
      <c r="BI109" s="34"/>
      <c r="BJ109" s="34"/>
      <c r="BK109" s="34"/>
      <c r="BL109" s="34"/>
      <c r="BM109" s="34"/>
      <c r="BN109" s="58"/>
      <c r="BO109" s="58"/>
      <c r="BP109" s="58"/>
      <c r="BQ109" s="58"/>
      <c r="BR109" s="58"/>
      <c r="BS109" s="58"/>
      <c r="BT109" s="58"/>
      <c r="BU109" s="58"/>
      <c r="BV109" s="58"/>
      <c r="BW109" s="58"/>
      <c r="BX109" s="58"/>
      <c r="BY109" s="58"/>
    </row>
    <row r="110" spans="3:92" x14ac:dyDescent="0.25">
      <c r="P110" s="16"/>
      <c r="Q110" s="17"/>
      <c r="R110" s="17"/>
      <c r="S110" s="17"/>
      <c r="T110" s="17"/>
      <c r="U110" s="17"/>
      <c r="V110" s="17"/>
      <c r="W110" s="17"/>
      <c r="X110" s="17"/>
      <c r="Y110" s="17"/>
      <c r="Z110" s="16"/>
      <c r="AA110" s="17"/>
      <c r="AB110" s="17"/>
      <c r="AC110" s="17"/>
      <c r="AD110" s="17"/>
      <c r="AE110" s="17"/>
      <c r="AF110" s="17"/>
      <c r="AG110" s="17"/>
      <c r="AH110" s="17"/>
      <c r="AI110" s="18"/>
      <c r="AL110" s="34"/>
      <c r="AM110" s="34"/>
      <c r="AN110" s="34"/>
      <c r="AO110" s="34" t="str">
        <f t="shared" ref="AO110:AW110" si="475">G15</f>
        <v>g1</v>
      </c>
      <c r="AP110" s="34" t="str">
        <f t="shared" si="475"/>
        <v>g2</v>
      </c>
      <c r="AQ110" s="34" t="str">
        <f t="shared" si="475"/>
        <v>g3</v>
      </c>
      <c r="AR110" s="34" t="str">
        <f t="shared" si="475"/>
        <v>g4</v>
      </c>
      <c r="AS110" s="34" t="str">
        <f t="shared" si="475"/>
        <v>g5</v>
      </c>
      <c r="AT110" s="34" t="str">
        <f t="shared" si="475"/>
        <v>g6</v>
      </c>
      <c r="AU110" s="34" t="str">
        <f t="shared" si="475"/>
        <v>g7</v>
      </c>
      <c r="AV110" s="34" t="str">
        <f t="shared" si="475"/>
        <v>g8</v>
      </c>
      <c r="AW110" s="34" t="str">
        <f t="shared" si="475"/>
        <v>g9</v>
      </c>
      <c r="AX110" s="34"/>
      <c r="AY110" s="34"/>
      <c r="AZ110" s="34"/>
      <c r="BA110" s="34"/>
      <c r="BB110" s="34"/>
      <c r="BC110" s="34" t="str">
        <f t="shared" ref="BC110:BL111" si="476">BO110</f>
        <v>REL, log2 scale</v>
      </c>
      <c r="BD110" s="34" t="str">
        <f t="shared" si="476"/>
        <v>g1</v>
      </c>
      <c r="BE110" s="34" t="str">
        <f t="shared" si="476"/>
        <v>g2</v>
      </c>
      <c r="BF110" s="34" t="str">
        <f t="shared" si="476"/>
        <v>g3</v>
      </c>
      <c r="BG110" s="34" t="str">
        <f t="shared" si="476"/>
        <v>g4</v>
      </c>
      <c r="BH110" s="34" t="str">
        <f t="shared" si="476"/>
        <v>g5</v>
      </c>
      <c r="BI110" s="34" t="str">
        <f t="shared" si="476"/>
        <v>g6</v>
      </c>
      <c r="BJ110" s="34" t="str">
        <f t="shared" si="476"/>
        <v>g7</v>
      </c>
      <c r="BK110" s="34" t="str">
        <f t="shared" si="476"/>
        <v>g8</v>
      </c>
      <c r="BL110" s="34" t="str">
        <f t="shared" si="476"/>
        <v>g9</v>
      </c>
      <c r="BM110" s="34"/>
      <c r="BN110" s="58"/>
      <c r="BO110" s="59" t="s">
        <v>131</v>
      </c>
      <c r="BP110" s="60" t="s">
        <v>6</v>
      </c>
      <c r="BQ110" s="60" t="s">
        <v>7</v>
      </c>
      <c r="BR110" s="60" t="s">
        <v>8</v>
      </c>
      <c r="BS110" s="60" t="s">
        <v>9</v>
      </c>
      <c r="BT110" s="60" t="s">
        <v>10</v>
      </c>
      <c r="BU110" s="60" t="s">
        <v>11</v>
      </c>
      <c r="BV110" s="60" t="s">
        <v>12</v>
      </c>
      <c r="BW110" s="60" t="s">
        <v>13</v>
      </c>
      <c r="BX110" s="60" t="s">
        <v>14</v>
      </c>
      <c r="BY110" s="58"/>
    </row>
    <row r="111" spans="3:92" x14ac:dyDescent="0.25">
      <c r="P111" s="19"/>
      <c r="Q111" s="6">
        <f t="shared" ref="Q111:Y111" si="477">R16*100*2</f>
        <v>1000</v>
      </c>
      <c r="R111" s="6">
        <f t="shared" si="477"/>
        <v>400</v>
      </c>
      <c r="S111" s="6">
        <f t="shared" si="477"/>
        <v>60</v>
      </c>
      <c r="T111" s="6">
        <f t="shared" si="477"/>
        <v>40</v>
      </c>
      <c r="U111" s="6">
        <f t="shared" si="477"/>
        <v>20</v>
      </c>
      <c r="V111" s="6">
        <f t="shared" si="477"/>
        <v>3</v>
      </c>
      <c r="W111" s="6">
        <f t="shared" si="477"/>
        <v>10</v>
      </c>
      <c r="X111" s="6">
        <f t="shared" si="477"/>
        <v>40</v>
      </c>
      <c r="Y111" s="6">
        <f t="shared" si="477"/>
        <v>100</v>
      </c>
      <c r="Z111" s="19"/>
      <c r="AA111" s="6">
        <f t="shared" ref="AA111:AI111" si="478">AB16*100*2</f>
        <v>50</v>
      </c>
      <c r="AB111" s="6">
        <f t="shared" si="478"/>
        <v>50</v>
      </c>
      <c r="AC111" s="6">
        <f t="shared" si="478"/>
        <v>50</v>
      </c>
      <c r="AD111" s="6">
        <f t="shared" si="478"/>
        <v>50</v>
      </c>
      <c r="AE111" s="6">
        <f t="shared" si="478"/>
        <v>50</v>
      </c>
      <c r="AF111" s="6">
        <f t="shared" si="478"/>
        <v>50</v>
      </c>
      <c r="AG111" s="6">
        <f t="shared" si="478"/>
        <v>50</v>
      </c>
      <c r="AH111" s="6">
        <f t="shared" si="478"/>
        <v>50</v>
      </c>
      <c r="AI111" s="20">
        <f t="shared" si="478"/>
        <v>50</v>
      </c>
      <c r="AL111" s="34"/>
      <c r="AM111" s="34"/>
      <c r="AN111" s="34" t="str">
        <f t="shared" ref="AN111:AN116" si="479">F16</f>
        <v>gr1</v>
      </c>
      <c r="AO111" s="1">
        <f>-(T7+AE7)</f>
        <v>-12</v>
      </c>
      <c r="AP111" s="1">
        <f t="shared" ref="AP111:AW116" si="480">-(U7+AF7)</f>
        <v>-8</v>
      </c>
      <c r="AQ111" s="1">
        <f t="shared" si="480"/>
        <v>-3</v>
      </c>
      <c r="AR111" s="1">
        <f t="shared" si="480"/>
        <v>-3</v>
      </c>
      <c r="AS111" s="1">
        <f t="shared" si="480"/>
        <v>-3</v>
      </c>
      <c r="AT111" s="1">
        <f t="shared" si="480"/>
        <v>-3</v>
      </c>
      <c r="AU111" s="1">
        <f t="shared" si="480"/>
        <v>-0.26</v>
      </c>
      <c r="AV111" s="1">
        <f t="shared" si="480"/>
        <v>-0.2</v>
      </c>
      <c r="AW111" s="1">
        <f t="shared" si="480"/>
        <v>0.12</v>
      </c>
      <c r="AX111" s="34"/>
      <c r="AY111" s="34"/>
      <c r="AZ111" s="34"/>
      <c r="BA111" s="34"/>
      <c r="BB111" s="34"/>
      <c r="BC111" s="34" t="str">
        <f t="shared" si="476"/>
        <v>gr1</v>
      </c>
      <c r="BD111" s="34">
        <f t="shared" si="476"/>
        <v>-8.0462285634597475</v>
      </c>
      <c r="BE111" s="34">
        <f t="shared" si="476"/>
        <v>-8.0519831838130589</v>
      </c>
      <c r="BF111" s="34">
        <f t="shared" si="476"/>
        <v>-3.8941689964015289</v>
      </c>
      <c r="BG111" s="34">
        <f t="shared" si="476"/>
        <v>-0.14774075312344442</v>
      </c>
      <c r="BH111" s="34">
        <f t="shared" si="476"/>
        <v>1.8012953530854365</v>
      </c>
      <c r="BI111" s="34">
        <f t="shared" si="476"/>
        <v>0.78348570503418535</v>
      </c>
      <c r="BJ111" s="34">
        <f t="shared" si="476"/>
        <v>-2.3309605177503445</v>
      </c>
      <c r="BK111" s="34">
        <f t="shared" si="476"/>
        <v>3.5208549867889176</v>
      </c>
      <c r="BL111" s="34">
        <f t="shared" si="476"/>
        <v>-2.3226299514981834</v>
      </c>
      <c r="BM111" s="34"/>
      <c r="BN111" s="58"/>
      <c r="BO111" s="61" t="s">
        <v>0</v>
      </c>
      <c r="BP111" s="61">
        <v>-8.0462285634597475</v>
      </c>
      <c r="BQ111" s="61">
        <v>-8.0519831838130589</v>
      </c>
      <c r="BR111" s="61">
        <v>-3.8941689964015289</v>
      </c>
      <c r="BS111" s="61">
        <v>-0.14774075312344442</v>
      </c>
      <c r="BT111" s="61">
        <v>1.8012953530854365</v>
      </c>
      <c r="BU111" s="61">
        <v>0.78348570503418535</v>
      </c>
      <c r="BV111" s="61">
        <v>-2.3309605177503445</v>
      </c>
      <c r="BW111" s="61">
        <v>3.5208549867889176</v>
      </c>
      <c r="BX111" s="61">
        <v>-2.3226299514981834</v>
      </c>
      <c r="BY111" s="58"/>
    </row>
    <row r="112" spans="3:92" x14ac:dyDescent="0.25">
      <c r="P112" s="19"/>
      <c r="Q112" s="6">
        <f t="shared" ref="Q112:Y112" si="481">R17*100*2</f>
        <v>500</v>
      </c>
      <c r="R112" s="6">
        <f t="shared" si="481"/>
        <v>340</v>
      </c>
      <c r="S112" s="6">
        <f t="shared" si="481"/>
        <v>55.000000000000007</v>
      </c>
      <c r="T112" s="6">
        <f t="shared" si="481"/>
        <v>20</v>
      </c>
      <c r="U112" s="6">
        <f t="shared" si="481"/>
        <v>25</v>
      </c>
      <c r="V112" s="6">
        <f t="shared" si="481"/>
        <v>25</v>
      </c>
      <c r="W112" s="6">
        <f t="shared" si="481"/>
        <v>20</v>
      </c>
      <c r="X112" s="6">
        <f t="shared" si="481"/>
        <v>30</v>
      </c>
      <c r="Y112" s="6">
        <f t="shared" si="481"/>
        <v>30</v>
      </c>
      <c r="Z112" s="19"/>
      <c r="AA112" s="6">
        <f t="shared" ref="AA112:AI112" si="482">AB17*100*2</f>
        <v>50</v>
      </c>
      <c r="AB112" s="6">
        <f t="shared" si="482"/>
        <v>50</v>
      </c>
      <c r="AC112" s="6">
        <f t="shared" si="482"/>
        <v>50</v>
      </c>
      <c r="AD112" s="6">
        <f t="shared" si="482"/>
        <v>50</v>
      </c>
      <c r="AE112" s="6">
        <f t="shared" si="482"/>
        <v>50</v>
      </c>
      <c r="AF112" s="6">
        <f t="shared" si="482"/>
        <v>50</v>
      </c>
      <c r="AG112" s="6">
        <f t="shared" si="482"/>
        <v>50</v>
      </c>
      <c r="AH112" s="6">
        <f t="shared" si="482"/>
        <v>50</v>
      </c>
      <c r="AI112" s="20">
        <f t="shared" si="482"/>
        <v>50</v>
      </c>
      <c r="AL112" s="34"/>
      <c r="AM112" s="34"/>
      <c r="AN112" s="34" t="str">
        <f t="shared" si="479"/>
        <v>gr2</v>
      </c>
      <c r="AO112" s="1">
        <f t="shared" ref="AO112:AO116" si="483">-(T8+AE8)</f>
        <v>-10</v>
      </c>
      <c r="AP112" s="1">
        <f t="shared" si="480"/>
        <v>-2</v>
      </c>
      <c r="AQ112" s="1">
        <f t="shared" si="480"/>
        <v>-5</v>
      </c>
      <c r="AR112" s="1">
        <f t="shared" si="480"/>
        <v>-5.1999999999999993</v>
      </c>
      <c r="AS112" s="1">
        <f t="shared" si="480"/>
        <v>-4.8</v>
      </c>
      <c r="AT112" s="1">
        <f t="shared" si="480"/>
        <v>-5.23</v>
      </c>
      <c r="AU112" s="1">
        <f t="shared" si="480"/>
        <v>0</v>
      </c>
      <c r="AV112" s="1">
        <f t="shared" si="480"/>
        <v>-0.3</v>
      </c>
      <c r="AW112" s="1">
        <f t="shared" si="480"/>
        <v>5.0999999999999996</v>
      </c>
      <c r="AX112" s="34"/>
      <c r="AY112" s="34"/>
      <c r="AZ112" s="34"/>
      <c r="BA112" s="34"/>
      <c r="BB112" s="34"/>
      <c r="BC112" s="34" t="str">
        <f t="shared" ref="BC112:BL112" si="484">BO115</f>
        <v>gr2</v>
      </c>
      <c r="BD112" s="34">
        <f t="shared" si="484"/>
        <v>-5.336510972537984</v>
      </c>
      <c r="BE112" s="34">
        <f t="shared" si="484"/>
        <v>-2.902719445701079</v>
      </c>
      <c r="BF112" s="34" t="str">
        <f t="shared" si="484"/>
        <v>nd</v>
      </c>
      <c r="BG112" s="34">
        <f t="shared" si="484"/>
        <v>-2.7020071660819762</v>
      </c>
      <c r="BH112" s="34">
        <f t="shared" si="484"/>
        <v>-0.5128035495325175</v>
      </c>
      <c r="BI112" s="34">
        <f t="shared" si="484"/>
        <v>-1.7019906207687598</v>
      </c>
      <c r="BJ112" s="34">
        <f t="shared" si="484"/>
        <v>-2.6552461559385865</v>
      </c>
      <c r="BK112" s="34">
        <f t="shared" si="484"/>
        <v>3.2175035333201398</v>
      </c>
      <c r="BL112" s="34">
        <f t="shared" si="484"/>
        <v>2.3914543749369921</v>
      </c>
      <c r="BM112" s="34"/>
      <c r="BN112" s="58"/>
      <c r="BO112" s="61" t="s">
        <v>132</v>
      </c>
      <c r="BP112" s="61">
        <v>-8.1037047137492948</v>
      </c>
      <c r="BQ112" s="61">
        <v>-8.0142267005409593</v>
      </c>
      <c r="BR112" s="61">
        <v>-3.7480275898730273</v>
      </c>
      <c r="BS112" s="61">
        <v>0.15457856730411748</v>
      </c>
      <c r="BT112" s="61">
        <v>2.0690926622000196</v>
      </c>
      <c r="BU112" s="61">
        <v>13.070190526758424</v>
      </c>
      <c r="BV112" s="61">
        <v>-2.1237488071834356</v>
      </c>
      <c r="BW112" s="61" t="s">
        <v>18</v>
      </c>
      <c r="BX112" s="61">
        <v>-2.5503251523602213</v>
      </c>
      <c r="BY112" s="58"/>
    </row>
    <row r="113" spans="16:77" x14ac:dyDescent="0.25">
      <c r="P113" s="19"/>
      <c r="Q113" s="6">
        <f t="shared" ref="Q113:Y113" si="485">R18*100*2</f>
        <v>400</v>
      </c>
      <c r="R113" s="6">
        <f t="shared" si="485"/>
        <v>400</v>
      </c>
      <c r="S113" s="6">
        <f t="shared" si="485"/>
        <v>66</v>
      </c>
      <c r="T113" s="6">
        <f t="shared" si="485"/>
        <v>46</v>
      </c>
      <c r="U113" s="6">
        <f t="shared" si="485"/>
        <v>28.000000000000004</v>
      </c>
      <c r="V113" s="6">
        <f t="shared" si="485"/>
        <v>40</v>
      </c>
      <c r="W113" s="6">
        <f t="shared" si="485"/>
        <v>12</v>
      </c>
      <c r="X113" s="6">
        <f t="shared" si="485"/>
        <v>40</v>
      </c>
      <c r="Y113" s="6">
        <f t="shared" si="485"/>
        <v>30</v>
      </c>
      <c r="Z113" s="19"/>
      <c r="AA113" s="6">
        <f t="shared" ref="AA113:AI113" si="486">AB18*100*2</f>
        <v>50</v>
      </c>
      <c r="AB113" s="6">
        <f t="shared" si="486"/>
        <v>50</v>
      </c>
      <c r="AC113" s="6">
        <f t="shared" si="486"/>
        <v>50</v>
      </c>
      <c r="AD113" s="6">
        <f t="shared" si="486"/>
        <v>50</v>
      </c>
      <c r="AE113" s="6">
        <f t="shared" si="486"/>
        <v>50</v>
      </c>
      <c r="AF113" s="6">
        <f t="shared" si="486"/>
        <v>50</v>
      </c>
      <c r="AG113" s="6">
        <f t="shared" si="486"/>
        <v>50</v>
      </c>
      <c r="AH113" s="6">
        <f t="shared" si="486"/>
        <v>50</v>
      </c>
      <c r="AI113" s="20">
        <f t="shared" si="486"/>
        <v>50</v>
      </c>
      <c r="AL113" s="34"/>
      <c r="AM113" s="34"/>
      <c r="AN113" s="34" t="str">
        <f t="shared" si="479"/>
        <v>gr3</v>
      </c>
      <c r="AO113" s="1">
        <f t="shared" si="483"/>
        <v>-1</v>
      </c>
      <c r="AP113" s="1">
        <f t="shared" si="480"/>
        <v>-9</v>
      </c>
      <c r="AQ113" s="1">
        <f t="shared" si="480"/>
        <v>-2</v>
      </c>
      <c r="AR113" s="1">
        <f t="shared" si="480"/>
        <v>-2.2599999999999998</v>
      </c>
      <c r="AS113" s="1">
        <f t="shared" si="480"/>
        <v>-1.6999999999999993</v>
      </c>
      <c r="AT113" s="1">
        <f t="shared" si="480"/>
        <v>-1.9</v>
      </c>
      <c r="AU113" s="1">
        <f t="shared" si="480"/>
        <v>-3.9</v>
      </c>
      <c r="AV113" s="1">
        <f t="shared" si="480"/>
        <v>-0.23</v>
      </c>
      <c r="AW113" s="1">
        <f t="shared" si="480"/>
        <v>0.16</v>
      </c>
      <c r="AX113" s="34"/>
      <c r="AY113" s="34"/>
      <c r="AZ113" s="34"/>
      <c r="BA113" s="34"/>
      <c r="BB113" s="34"/>
      <c r="BC113" s="34" t="str">
        <f t="shared" ref="BC113:BL113" si="487">BO119</f>
        <v>gr3</v>
      </c>
      <c r="BD113" s="34">
        <f t="shared" si="487"/>
        <v>4.6418630401664771</v>
      </c>
      <c r="BE113" s="34">
        <f t="shared" si="487"/>
        <v>-7.8785792631994997</v>
      </c>
      <c r="BF113" s="34" t="str">
        <f t="shared" si="487"/>
        <v>nd</v>
      </c>
      <c r="BG113" s="34">
        <f t="shared" si="487"/>
        <v>0.8821630342530522</v>
      </c>
      <c r="BH113" s="34">
        <f t="shared" si="487"/>
        <v>3.1014023871574645</v>
      </c>
      <c r="BI113" s="34">
        <f t="shared" si="487"/>
        <v>2.2151471725698948</v>
      </c>
      <c r="BJ113" s="34">
        <f t="shared" si="487"/>
        <v>-5.7602115453419573</v>
      </c>
      <c r="BK113" s="34">
        <f t="shared" si="487"/>
        <v>3.747373733329165</v>
      </c>
      <c r="BL113" s="34">
        <f t="shared" si="487"/>
        <v>-1.9201841818249843</v>
      </c>
      <c r="BM113" s="34"/>
      <c r="BN113" s="58"/>
      <c r="BO113" s="61" t="s">
        <v>133</v>
      </c>
      <c r="BP113" s="61">
        <v>-9.6202257963390956</v>
      </c>
      <c r="BQ113" s="61">
        <v>-8.8461187342195249</v>
      </c>
      <c r="BR113" s="61">
        <v>-3.7744297068247623</v>
      </c>
      <c r="BS113" s="61">
        <v>-0.2486496830941006</v>
      </c>
      <c r="BT113" s="61">
        <v>1.8363692973573762</v>
      </c>
      <c r="BU113" s="61">
        <v>0.68680686916210909</v>
      </c>
      <c r="BV113" s="61">
        <v>-2.2056970643243576</v>
      </c>
      <c r="BW113" s="61">
        <v>3.5208549867889176</v>
      </c>
      <c r="BX113" s="61">
        <v>-2.4400722826883783</v>
      </c>
      <c r="BY113" s="58"/>
    </row>
    <row r="114" spans="16:77" x14ac:dyDescent="0.25">
      <c r="P114" s="19"/>
      <c r="Q114" s="6">
        <f t="shared" ref="Q114:Y114" si="488">R19*100*2</f>
        <v>220.00000000000003</v>
      </c>
      <c r="R114" s="6">
        <f t="shared" si="488"/>
        <v>500</v>
      </c>
      <c r="S114" s="6">
        <f t="shared" si="488"/>
        <v>70</v>
      </c>
      <c r="T114" s="6">
        <f t="shared" si="488"/>
        <v>43</v>
      </c>
      <c r="U114" s="6">
        <f t="shared" si="488"/>
        <v>15</v>
      </c>
      <c r="V114" s="6">
        <f t="shared" si="488"/>
        <v>80</v>
      </c>
      <c r="W114" s="6">
        <f t="shared" si="488"/>
        <v>23</v>
      </c>
      <c r="X114" s="6">
        <f t="shared" si="488"/>
        <v>44</v>
      </c>
      <c r="Y114" s="6">
        <f t="shared" si="488"/>
        <v>50</v>
      </c>
      <c r="Z114" s="19"/>
      <c r="AA114" s="6">
        <f t="shared" ref="AA114:AI114" si="489">AB19*100*2</f>
        <v>50</v>
      </c>
      <c r="AB114" s="6">
        <f t="shared" si="489"/>
        <v>50</v>
      </c>
      <c r="AC114" s="6">
        <f t="shared" si="489"/>
        <v>50</v>
      </c>
      <c r="AD114" s="6">
        <f t="shared" si="489"/>
        <v>50</v>
      </c>
      <c r="AE114" s="6">
        <f t="shared" si="489"/>
        <v>50</v>
      </c>
      <c r="AF114" s="6">
        <f t="shared" si="489"/>
        <v>50</v>
      </c>
      <c r="AG114" s="6">
        <f t="shared" si="489"/>
        <v>50</v>
      </c>
      <c r="AH114" s="6">
        <f t="shared" si="489"/>
        <v>50</v>
      </c>
      <c r="AI114" s="20">
        <f t="shared" si="489"/>
        <v>50</v>
      </c>
      <c r="AL114" s="34"/>
      <c r="AM114" s="34"/>
      <c r="AN114" s="34" t="str">
        <f t="shared" si="479"/>
        <v>gr4</v>
      </c>
      <c r="AO114" s="1">
        <f t="shared" si="483"/>
        <v>-4</v>
      </c>
      <c r="AP114" s="1">
        <f t="shared" si="480"/>
        <v>-12</v>
      </c>
      <c r="AQ114" s="1">
        <f t="shared" si="480"/>
        <v>-8</v>
      </c>
      <c r="AR114" s="1">
        <f t="shared" si="480"/>
        <v>-7.64</v>
      </c>
      <c r="AS114" s="1">
        <f t="shared" si="480"/>
        <v>-7.77</v>
      </c>
      <c r="AT114" s="1">
        <f t="shared" si="480"/>
        <v>-7.98</v>
      </c>
      <c r="AU114" s="1">
        <f t="shared" si="480"/>
        <v>-0.01</v>
      </c>
      <c r="AV114" s="1">
        <f t="shared" si="480"/>
        <v>-9.08</v>
      </c>
      <c r="AW114" s="1">
        <f t="shared" si="480"/>
        <v>-0.25</v>
      </c>
      <c r="AX114" s="34"/>
      <c r="AY114" s="34"/>
      <c r="AZ114" s="34"/>
      <c r="BA114" s="34"/>
      <c r="BB114" s="34"/>
      <c r="BC114" s="34" t="str">
        <f t="shared" ref="BC114:BL114" si="490">BO123</f>
        <v>gr4</v>
      </c>
      <c r="BD114" s="34">
        <f t="shared" si="490"/>
        <v>-2.0397663720447181E-2</v>
      </c>
      <c r="BE114" s="34">
        <f t="shared" si="490"/>
        <v>-10.47441426683055</v>
      </c>
      <c r="BF114" s="34" t="str">
        <f t="shared" si="490"/>
        <v>nd</v>
      </c>
      <c r="BG114" s="34">
        <f t="shared" si="490"/>
        <v>-4.7807170701167845</v>
      </c>
      <c r="BH114" s="34">
        <f t="shared" si="490"/>
        <v>-2.9753683163146274</v>
      </c>
      <c r="BI114" s="34">
        <f t="shared" si="490"/>
        <v>7.6633874559721074</v>
      </c>
      <c r="BJ114" s="34">
        <f t="shared" si="490"/>
        <v>-2.119403205852596</v>
      </c>
      <c r="BK114" s="34">
        <f t="shared" si="490"/>
        <v>-5.074982511732923</v>
      </c>
      <c r="BL114" s="34">
        <f t="shared" si="490"/>
        <v>-2.3323770700517206</v>
      </c>
      <c r="BM114" s="34"/>
      <c r="BN114" s="58"/>
      <c r="BO114" s="61" t="s">
        <v>134</v>
      </c>
      <c r="BP114" s="61">
        <v>-5.4409341498638382</v>
      </c>
      <c r="BQ114" s="61">
        <v>-5.4505862446281386</v>
      </c>
      <c r="BR114" s="61">
        <v>-4.8426107807207073</v>
      </c>
      <c r="BS114" s="61">
        <v>-0.31726369799612281</v>
      </c>
      <c r="BT114" s="61">
        <v>1.4853357601473951</v>
      </c>
      <c r="BU114" s="61">
        <v>0.76397970719596719</v>
      </c>
      <c r="BV114" s="61">
        <v>-2.7225308179923604</v>
      </c>
      <c r="BW114" s="61" t="s">
        <v>18</v>
      </c>
      <c r="BX114" s="61">
        <v>-1.9379230254157138</v>
      </c>
      <c r="BY114" s="58"/>
    </row>
    <row r="115" spans="16:77" x14ac:dyDescent="0.25">
      <c r="P115" s="19"/>
      <c r="Q115" s="6">
        <f t="shared" ref="Q115:Y115" si="491">R20*100*2</f>
        <v>200</v>
      </c>
      <c r="R115" s="6">
        <f t="shared" si="491"/>
        <v>500</v>
      </c>
      <c r="S115" s="6">
        <f t="shared" si="491"/>
        <v>30</v>
      </c>
      <c r="T115" s="6">
        <f t="shared" si="491"/>
        <v>48</v>
      </c>
      <c r="U115" s="6">
        <f t="shared" si="491"/>
        <v>22</v>
      </c>
      <c r="V115" s="6">
        <f t="shared" si="491"/>
        <v>20</v>
      </c>
      <c r="W115" s="6">
        <f t="shared" si="491"/>
        <v>13</v>
      </c>
      <c r="X115" s="6">
        <f t="shared" si="491"/>
        <v>60</v>
      </c>
      <c r="Y115" s="6">
        <f t="shared" si="491"/>
        <v>6</v>
      </c>
      <c r="Z115" s="19"/>
      <c r="AA115" s="6">
        <f t="shared" ref="AA115:AI115" si="492">AB20*100*2</f>
        <v>50</v>
      </c>
      <c r="AB115" s="6">
        <f t="shared" si="492"/>
        <v>50</v>
      </c>
      <c r="AC115" s="6">
        <f t="shared" si="492"/>
        <v>50</v>
      </c>
      <c r="AD115" s="6">
        <f t="shared" si="492"/>
        <v>50</v>
      </c>
      <c r="AE115" s="6">
        <f t="shared" si="492"/>
        <v>50</v>
      </c>
      <c r="AF115" s="6">
        <f t="shared" si="492"/>
        <v>50</v>
      </c>
      <c r="AG115" s="6">
        <f t="shared" si="492"/>
        <v>50</v>
      </c>
      <c r="AH115" s="6">
        <f t="shared" si="492"/>
        <v>50</v>
      </c>
      <c r="AI115" s="20">
        <f t="shared" si="492"/>
        <v>50</v>
      </c>
      <c r="AL115" s="34"/>
      <c r="AM115" s="34"/>
      <c r="AN115" s="34" t="str">
        <f t="shared" si="479"/>
        <v>gr5</v>
      </c>
      <c r="AO115" s="1">
        <f t="shared" si="483"/>
        <v>-2</v>
      </c>
      <c r="AP115" s="1">
        <f t="shared" si="480"/>
        <v>-3</v>
      </c>
      <c r="AQ115" s="1">
        <f t="shared" si="480"/>
        <v>-0.5</v>
      </c>
      <c r="AR115" s="1">
        <f t="shared" si="480"/>
        <v>-0.94999999999999929</v>
      </c>
      <c r="AS115" s="1">
        <f t="shared" si="480"/>
        <v>-0.25999999999999979</v>
      </c>
      <c r="AT115" s="1">
        <f t="shared" si="480"/>
        <v>-0.51</v>
      </c>
      <c r="AU115" s="1">
        <f t="shared" si="480"/>
        <v>-0.08</v>
      </c>
      <c r="AV115" s="1">
        <f t="shared" si="480"/>
        <v>-0.3</v>
      </c>
      <c r="AW115" s="1">
        <f t="shared" si="480"/>
        <v>-3.12</v>
      </c>
      <c r="AX115" s="34"/>
      <c r="AY115" s="34"/>
      <c r="AZ115" s="34"/>
      <c r="BA115" s="34"/>
      <c r="BB115" s="34"/>
      <c r="BC115" s="34" t="str">
        <f t="shared" ref="BC115:BL115" si="493">BO127</f>
        <v>gr5</v>
      </c>
      <c r="BD115" s="34">
        <f t="shared" si="493"/>
        <v>2.5891890937811239</v>
      </c>
      <c r="BE115" s="34">
        <f t="shared" si="493"/>
        <v>-2.7926967733675641</v>
      </c>
      <c r="BF115" s="34" t="str">
        <f t="shared" si="493"/>
        <v>nd</v>
      </c>
      <c r="BG115" s="34">
        <f t="shared" si="493"/>
        <v>2.3710568317770342</v>
      </c>
      <c r="BH115" s="34">
        <f t="shared" si="493"/>
        <v>9.1796238234153229</v>
      </c>
      <c r="BI115" s="34">
        <f t="shared" si="493"/>
        <v>3.721597000140596</v>
      </c>
      <c r="BJ115" s="34">
        <f t="shared" si="493"/>
        <v>-1.6807348315156974</v>
      </c>
      <c r="BK115" s="34">
        <f t="shared" si="493"/>
        <v>3.7127498540637487</v>
      </c>
      <c r="BL115" s="34">
        <f t="shared" si="493"/>
        <v>-4.6693146077687011</v>
      </c>
      <c r="BM115" s="34"/>
      <c r="BN115" s="58"/>
      <c r="BO115" s="61" t="s">
        <v>1</v>
      </c>
      <c r="BP115" s="61">
        <v>-5.336510972537984</v>
      </c>
      <c r="BQ115" s="61">
        <v>-2.902719445701079</v>
      </c>
      <c r="BR115" s="61" t="s">
        <v>18</v>
      </c>
      <c r="BS115" s="61">
        <v>-2.7020071660819762</v>
      </c>
      <c r="BT115" s="61">
        <v>-0.5128035495325175</v>
      </c>
      <c r="BU115" s="61">
        <v>-1.7019906207687598</v>
      </c>
      <c r="BV115" s="61">
        <v>-2.6552461559385865</v>
      </c>
      <c r="BW115" s="61">
        <v>3.2175035333201398</v>
      </c>
      <c r="BX115" s="61">
        <v>2.3914543749369921</v>
      </c>
      <c r="BY115" s="58"/>
    </row>
    <row r="116" spans="16:77" ht="15.75" thickBot="1" x14ac:dyDescent="0.3">
      <c r="P116" s="21"/>
      <c r="Q116" s="22">
        <f t="shared" ref="Q116:Y116" si="494">R21*100*2</f>
        <v>20</v>
      </c>
      <c r="R116" s="22">
        <f t="shared" si="494"/>
        <v>160</v>
      </c>
      <c r="S116" s="22">
        <f t="shared" si="494"/>
        <v>28.000000000000004</v>
      </c>
      <c r="T116" s="22">
        <f t="shared" si="494"/>
        <v>44</v>
      </c>
      <c r="U116" s="22">
        <f t="shared" si="494"/>
        <v>20</v>
      </c>
      <c r="V116" s="22">
        <f t="shared" si="494"/>
        <v>32</v>
      </c>
      <c r="W116" s="22">
        <f t="shared" si="494"/>
        <v>20</v>
      </c>
      <c r="X116" s="22">
        <f t="shared" si="494"/>
        <v>40</v>
      </c>
      <c r="Y116" s="22">
        <f t="shared" si="494"/>
        <v>47</v>
      </c>
      <c r="Z116" s="21"/>
      <c r="AA116" s="22">
        <f t="shared" ref="AA116:AI116" si="495">AB21*100*2</f>
        <v>50</v>
      </c>
      <c r="AB116" s="22">
        <f t="shared" si="495"/>
        <v>50</v>
      </c>
      <c r="AC116" s="22">
        <f t="shared" si="495"/>
        <v>50</v>
      </c>
      <c r="AD116" s="22">
        <f t="shared" si="495"/>
        <v>50</v>
      </c>
      <c r="AE116" s="22">
        <f t="shared" si="495"/>
        <v>50</v>
      </c>
      <c r="AF116" s="22">
        <f t="shared" si="495"/>
        <v>50</v>
      </c>
      <c r="AG116" s="22">
        <f t="shared" si="495"/>
        <v>50</v>
      </c>
      <c r="AH116" s="22">
        <f t="shared" si="495"/>
        <v>50</v>
      </c>
      <c r="AI116" s="23">
        <f t="shared" si="495"/>
        <v>50</v>
      </c>
      <c r="AL116" s="34"/>
      <c r="AM116" s="34"/>
      <c r="AN116" s="34" t="str">
        <f t="shared" si="479"/>
        <v>gr6</v>
      </c>
      <c r="AO116" s="1">
        <f t="shared" si="483"/>
        <v>-6.5</v>
      </c>
      <c r="AP116" s="1">
        <f t="shared" si="480"/>
        <v>-8</v>
      </c>
      <c r="AQ116" s="1">
        <f t="shared" si="480"/>
        <v>-12</v>
      </c>
      <c r="AR116" s="1">
        <f t="shared" si="480"/>
        <v>-12.08</v>
      </c>
      <c r="AS116" s="1">
        <f t="shared" si="480"/>
        <v>-11.7</v>
      </c>
      <c r="AT116" s="1">
        <f t="shared" si="480"/>
        <v>-12.6</v>
      </c>
      <c r="AU116" s="1">
        <f t="shared" si="480"/>
        <v>-0.12</v>
      </c>
      <c r="AV116" s="1">
        <f t="shared" si="480"/>
        <v>-0.04</v>
      </c>
      <c r="AW116" s="1">
        <f t="shared" si="480"/>
        <v>-0.2</v>
      </c>
      <c r="AX116" s="34"/>
      <c r="AY116" s="34"/>
      <c r="AZ116" s="34"/>
      <c r="BA116" s="34"/>
      <c r="BB116" s="34"/>
      <c r="BC116" s="34" t="str">
        <f t="shared" ref="BC116:BL116" si="496">BO131</f>
        <v>gr6</v>
      </c>
      <c r="BD116" s="34">
        <f t="shared" si="496"/>
        <v>-1.619057339552749</v>
      </c>
      <c r="BE116" s="34">
        <f t="shared" si="496"/>
        <v>-6.8260885175741768</v>
      </c>
      <c r="BF116" s="34" t="str">
        <f t="shared" si="496"/>
        <v>nd</v>
      </c>
      <c r="BG116" s="34">
        <f t="shared" si="496"/>
        <v>-8.8726145984759714</v>
      </c>
      <c r="BH116" s="34">
        <f t="shared" si="496"/>
        <v>-7.5535137601689639</v>
      </c>
      <c r="BI116" s="34">
        <f t="shared" si="496"/>
        <v>-8.5517707240097209</v>
      </c>
      <c r="BJ116" s="34" t="str">
        <f t="shared" si="496"/>
        <v>nd</v>
      </c>
      <c r="BK116" s="34">
        <f t="shared" si="496"/>
        <v>3.7314182309476172</v>
      </c>
      <c r="BL116" s="34">
        <f t="shared" si="496"/>
        <v>-2.4073698159432944</v>
      </c>
      <c r="BM116" s="34"/>
      <c r="BN116" s="58"/>
      <c r="BO116" s="61" t="s">
        <v>135</v>
      </c>
      <c r="BP116" s="61">
        <v>-4.0507506510125415</v>
      </c>
      <c r="BQ116" s="61">
        <v>-2.9939907103407752</v>
      </c>
      <c r="BR116" s="61" t="s">
        <v>18</v>
      </c>
      <c r="BS116" s="61">
        <v>-2.5110206402315316</v>
      </c>
      <c r="BT116" s="61">
        <v>-0.46131933867848068</v>
      </c>
      <c r="BU116" s="61">
        <v>-1.6737520252193314</v>
      </c>
      <c r="BV116" s="61">
        <v>-2.52815974392204</v>
      </c>
      <c r="BW116" s="61">
        <v>3.1802684786455857</v>
      </c>
      <c r="BX116" s="61">
        <v>2.3246146786986985</v>
      </c>
      <c r="BY116" s="58"/>
    </row>
    <row r="117" spans="16:77" x14ac:dyDescent="0.25"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  <c r="AX117" s="34"/>
      <c r="AY117" s="34"/>
      <c r="AZ117" s="34"/>
      <c r="BA117" s="34"/>
      <c r="BB117" s="34"/>
      <c r="BC117" s="34"/>
      <c r="BD117" s="34"/>
      <c r="BE117" s="34"/>
      <c r="BF117" s="34"/>
      <c r="BG117" s="34"/>
      <c r="BH117" s="34"/>
      <c r="BI117" s="34"/>
      <c r="BJ117" s="34"/>
      <c r="BK117" s="34"/>
      <c r="BL117" s="34"/>
      <c r="BM117" s="34"/>
      <c r="BN117" s="58"/>
      <c r="BO117" s="61" t="s">
        <v>136</v>
      </c>
      <c r="BP117" s="61">
        <v>-5.1284842591859867</v>
      </c>
      <c r="BQ117" s="61">
        <v>-2.3570509259348458</v>
      </c>
      <c r="BR117" s="61" t="s">
        <v>18</v>
      </c>
      <c r="BS117" s="61">
        <v>-37.298636359539685</v>
      </c>
      <c r="BT117" s="61">
        <v>-0.67248064191329104</v>
      </c>
      <c r="BU117" s="61">
        <v>-1.645448202708089</v>
      </c>
      <c r="BV117" s="61">
        <v>-2.9834767587627775</v>
      </c>
      <c r="BW117" s="61">
        <v>3.3233968141699806</v>
      </c>
      <c r="BX117" s="61">
        <v>2.4606938108790679</v>
      </c>
      <c r="BY117" s="58"/>
    </row>
    <row r="118" spans="16:77" x14ac:dyDescent="0.25"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  <c r="AX118" s="34"/>
      <c r="AY118" s="34"/>
      <c r="AZ118" s="34"/>
      <c r="BA118" s="34"/>
      <c r="BB118" s="34"/>
      <c r="BC118" s="34"/>
      <c r="BD118" s="34"/>
      <c r="BE118" s="34"/>
      <c r="BF118" s="34"/>
      <c r="BG118" s="34"/>
      <c r="BH118" s="34"/>
      <c r="BI118" s="34"/>
      <c r="BJ118" s="34"/>
      <c r="BK118" s="34"/>
      <c r="BL118" s="34"/>
      <c r="BM118" s="34"/>
      <c r="BN118" s="58"/>
      <c r="BO118" s="61" t="s">
        <v>137</v>
      </c>
      <c r="BP118" s="61">
        <v>-7.8255717614330997</v>
      </c>
      <c r="BQ118" s="61">
        <v>-3.2481075944327511</v>
      </c>
      <c r="BR118" s="61" t="s">
        <v>18</v>
      </c>
      <c r="BS118" s="61">
        <v>-2.8841561474146773</v>
      </c>
      <c r="BT118" s="61">
        <v>-0.43360082872489647</v>
      </c>
      <c r="BU118" s="61">
        <v>-1.7817629444736811</v>
      </c>
      <c r="BV118" s="61">
        <v>-2.5838173992540381</v>
      </c>
      <c r="BW118" s="61">
        <v>3.1641931598458037</v>
      </c>
      <c r="BX118" s="61">
        <v>2.3957379540675348</v>
      </c>
      <c r="BY118" s="58"/>
    </row>
    <row r="119" spans="16:77" ht="23.25" x14ac:dyDescent="0.35">
      <c r="X119" s="34"/>
      <c r="Y119" s="34"/>
      <c r="Z119" s="34"/>
      <c r="AA119" s="36" t="str">
        <f>F15</f>
        <v>initial summary</v>
      </c>
      <c r="AB119" s="37" t="str">
        <f t="shared" ref="AB119:AJ119" si="497">G15</f>
        <v>g1</v>
      </c>
      <c r="AC119" s="37" t="str">
        <f t="shared" si="497"/>
        <v>g2</v>
      </c>
      <c r="AD119" s="37" t="str">
        <f t="shared" si="497"/>
        <v>g3</v>
      </c>
      <c r="AE119" s="37" t="str">
        <f t="shared" si="497"/>
        <v>g4</v>
      </c>
      <c r="AF119" s="37" t="str">
        <f t="shared" si="497"/>
        <v>g5</v>
      </c>
      <c r="AG119" s="37" t="str">
        <f t="shared" si="497"/>
        <v>g6</v>
      </c>
      <c r="AH119" s="37" t="str">
        <f t="shared" si="497"/>
        <v>g7</v>
      </c>
      <c r="AI119" s="37" t="str">
        <f t="shared" si="497"/>
        <v>g8</v>
      </c>
      <c r="AJ119" s="37" t="str">
        <f t="shared" si="497"/>
        <v>g9</v>
      </c>
      <c r="AK119" s="34"/>
      <c r="AL119" s="34"/>
      <c r="AM119" s="34"/>
      <c r="AN119" s="34"/>
      <c r="AO119" s="34" t="str">
        <f>AO110</f>
        <v>g1</v>
      </c>
      <c r="AP119" s="34" t="str">
        <f t="shared" ref="AP119:AW119" si="498">AP110</f>
        <v>g2</v>
      </c>
      <c r="AQ119" s="34" t="str">
        <f t="shared" si="498"/>
        <v>g3</v>
      </c>
      <c r="AR119" s="34" t="str">
        <f t="shared" si="498"/>
        <v>g4</v>
      </c>
      <c r="AS119" s="34" t="str">
        <f t="shared" si="498"/>
        <v>g5</v>
      </c>
      <c r="AT119" s="34" t="str">
        <f t="shared" si="498"/>
        <v>g6</v>
      </c>
      <c r="AU119" s="34" t="str">
        <f t="shared" si="498"/>
        <v>g7</v>
      </c>
      <c r="AV119" s="34" t="str">
        <f t="shared" si="498"/>
        <v>g8</v>
      </c>
      <c r="AW119" s="34" t="str">
        <f t="shared" si="498"/>
        <v>g9</v>
      </c>
      <c r="AX119" s="34"/>
      <c r="AY119" s="34"/>
      <c r="AZ119" s="34"/>
      <c r="BA119" s="34"/>
      <c r="BB119" s="34"/>
      <c r="BC119" s="34"/>
      <c r="BD119" s="34" t="str">
        <f t="shared" ref="BD119:BL119" si="499">BD110</f>
        <v>g1</v>
      </c>
      <c r="BE119" s="34" t="str">
        <f t="shared" si="499"/>
        <v>g2</v>
      </c>
      <c r="BF119" s="34" t="str">
        <f t="shared" si="499"/>
        <v>g3</v>
      </c>
      <c r="BG119" s="34" t="str">
        <f t="shared" si="499"/>
        <v>g4</v>
      </c>
      <c r="BH119" s="34" t="str">
        <f t="shared" si="499"/>
        <v>g5</v>
      </c>
      <c r="BI119" s="34" t="str">
        <f t="shared" si="499"/>
        <v>g6</v>
      </c>
      <c r="BJ119" s="34" t="str">
        <f t="shared" si="499"/>
        <v>g7</v>
      </c>
      <c r="BK119" s="34" t="str">
        <f t="shared" si="499"/>
        <v>g8</v>
      </c>
      <c r="BL119" s="34" t="str">
        <f t="shared" si="499"/>
        <v>g9</v>
      </c>
      <c r="BM119" s="34"/>
      <c r="BN119" s="58"/>
      <c r="BO119" s="61" t="s">
        <v>2</v>
      </c>
      <c r="BP119" s="61">
        <v>4.6418630401664771</v>
      </c>
      <c r="BQ119" s="61">
        <v>-7.8785792631994997</v>
      </c>
      <c r="BR119" s="61" t="s">
        <v>18</v>
      </c>
      <c r="BS119" s="61">
        <v>0.8821630342530522</v>
      </c>
      <c r="BT119" s="61">
        <v>3.1014023871574645</v>
      </c>
      <c r="BU119" s="61">
        <v>2.2151471725698948</v>
      </c>
      <c r="BV119" s="61">
        <v>-5.7602115453419573</v>
      </c>
      <c r="BW119" s="61">
        <v>3.747373733329165</v>
      </c>
      <c r="BX119" s="61">
        <v>-1.9201841818249843</v>
      </c>
      <c r="BY119" s="58"/>
    </row>
    <row r="120" spans="16:77" x14ac:dyDescent="0.25">
      <c r="X120" s="34"/>
      <c r="Y120" s="34"/>
      <c r="Z120" s="34"/>
      <c r="AA120" s="37" t="str">
        <f t="shared" ref="AA120:AA125" si="500">F16</f>
        <v>gr1</v>
      </c>
      <c r="AB120" s="5">
        <f t="shared" ref="AB120:AB125" si="501">G16</f>
        <v>20</v>
      </c>
      <c r="AC120" s="5">
        <f t="shared" ref="AC120:AC125" si="502">H16</f>
        <v>20</v>
      </c>
      <c r="AD120" s="5">
        <f t="shared" ref="AD120:AD125" si="503">I16</f>
        <v>17</v>
      </c>
      <c r="AE120" s="5">
        <f t="shared" ref="AE120:AE125" si="504">J16</f>
        <v>13</v>
      </c>
      <c r="AF120" s="5">
        <f t="shared" ref="AF120:AF125" si="505">K16</f>
        <v>11</v>
      </c>
      <c r="AG120" s="5">
        <f t="shared" ref="AG120:AG125" si="506">L16</f>
        <v>12</v>
      </c>
      <c r="AH120" s="5">
        <f t="shared" ref="AH120:AH125" si="507">M16</f>
        <v>15.26</v>
      </c>
      <c r="AI120" s="5">
        <f t="shared" ref="AI120:AI125" si="508">N16</f>
        <v>9.1999999999999993</v>
      </c>
      <c r="AJ120" s="5">
        <f t="shared" ref="AJ120:AJ125" si="509">O16</f>
        <v>14.88</v>
      </c>
      <c r="AK120" s="34"/>
      <c r="AL120" s="34"/>
      <c r="AM120" s="34"/>
      <c r="AN120" s="34" t="str">
        <f>AN111</f>
        <v>gr1</v>
      </c>
      <c r="AO120" s="38">
        <f>-(T7+AE7-T$7-AE$7)</f>
        <v>0</v>
      </c>
      <c r="AP120" s="38">
        <f t="shared" ref="AP120:AW125" si="510">-(U7+AF7-U$7-AF$7)</f>
        <v>0</v>
      </c>
      <c r="AQ120" s="38">
        <f t="shared" si="510"/>
        <v>0</v>
      </c>
      <c r="AR120" s="38">
        <f t="shared" si="510"/>
        <v>0</v>
      </c>
      <c r="AS120" s="38">
        <f t="shared" si="510"/>
        <v>0</v>
      </c>
      <c r="AT120" s="38">
        <f t="shared" si="510"/>
        <v>0</v>
      </c>
      <c r="AU120" s="38">
        <f t="shared" si="510"/>
        <v>0</v>
      </c>
      <c r="AV120" s="38">
        <f t="shared" si="510"/>
        <v>0</v>
      </c>
      <c r="AW120" s="38">
        <f t="shared" si="510"/>
        <v>0</v>
      </c>
      <c r="AX120" s="34"/>
      <c r="AY120" s="34"/>
      <c r="AZ120" s="34"/>
      <c r="BA120" s="34"/>
      <c r="BB120" s="34"/>
      <c r="BC120" s="34" t="str">
        <f t="shared" ref="BC120:BC125" si="511">BC111</f>
        <v>gr1</v>
      </c>
      <c r="BD120" s="38">
        <f t="shared" ref="BD120:BL120" si="512">BD111-BD$111</f>
        <v>0</v>
      </c>
      <c r="BE120" s="38">
        <f t="shared" si="512"/>
        <v>0</v>
      </c>
      <c r="BF120" s="38">
        <f t="shared" si="512"/>
        <v>0</v>
      </c>
      <c r="BG120" s="38">
        <f t="shared" si="512"/>
        <v>0</v>
      </c>
      <c r="BH120" s="38">
        <f t="shared" si="512"/>
        <v>0</v>
      </c>
      <c r="BI120" s="38">
        <f t="shared" si="512"/>
        <v>0</v>
      </c>
      <c r="BJ120" s="38">
        <f t="shared" si="512"/>
        <v>0</v>
      </c>
      <c r="BK120" s="38">
        <f t="shared" si="512"/>
        <v>0</v>
      </c>
      <c r="BL120" s="38">
        <f t="shared" si="512"/>
        <v>0</v>
      </c>
      <c r="BM120" s="34"/>
      <c r="BN120" s="58"/>
      <c r="BO120" s="61" t="s">
        <v>138</v>
      </c>
      <c r="BP120" s="61">
        <v>5.4877401959309546</v>
      </c>
      <c r="BQ120" s="61">
        <v>-7.3001001264859307</v>
      </c>
      <c r="BR120" s="61" t="s">
        <v>18</v>
      </c>
      <c r="BS120" s="61">
        <v>0.82155334736094976</v>
      </c>
      <c r="BT120" s="61">
        <v>3.1907580272160008</v>
      </c>
      <c r="BU120" s="61">
        <v>2.3633611531101848</v>
      </c>
      <c r="BV120" s="61">
        <v>-5.6518388227578829</v>
      </c>
      <c r="BW120" s="61">
        <v>3.7174005267641133</v>
      </c>
      <c r="BX120" s="61">
        <v>-2.0529433154865577</v>
      </c>
      <c r="BY120" s="58"/>
    </row>
    <row r="121" spans="16:77" x14ac:dyDescent="0.25">
      <c r="X121" s="34"/>
      <c r="Y121" s="34"/>
      <c r="Z121" s="34"/>
      <c r="AA121" s="37" t="str">
        <f t="shared" si="500"/>
        <v>gr2</v>
      </c>
      <c r="AB121" s="5">
        <f t="shared" si="501"/>
        <v>15</v>
      </c>
      <c r="AC121" s="5">
        <f t="shared" si="502"/>
        <v>11</v>
      </c>
      <c r="AD121" s="5">
        <f t="shared" si="503"/>
        <v>16</v>
      </c>
      <c r="AE121" s="5">
        <f t="shared" si="504"/>
        <v>12.2</v>
      </c>
      <c r="AF121" s="5">
        <f t="shared" si="505"/>
        <v>9.8000000000000007</v>
      </c>
      <c r="AG121" s="5">
        <f t="shared" si="506"/>
        <v>11.23</v>
      </c>
      <c r="AH121" s="5">
        <f t="shared" si="507"/>
        <v>12</v>
      </c>
      <c r="AI121" s="5">
        <f t="shared" si="508"/>
        <v>6.3</v>
      </c>
      <c r="AJ121" s="5">
        <f t="shared" si="509"/>
        <v>6.9</v>
      </c>
      <c r="AK121" s="34"/>
      <c r="AL121" s="34"/>
      <c r="AM121" s="34"/>
      <c r="AN121" s="34" t="str">
        <f t="shared" ref="AN121:AN125" si="513">AN112</f>
        <v>gr2</v>
      </c>
      <c r="AO121" s="38">
        <f t="shared" ref="AO121:AO125" si="514">-(T8+AE8-T$7-AE$7)</f>
        <v>2</v>
      </c>
      <c r="AP121" s="38">
        <f t="shared" si="510"/>
        <v>6</v>
      </c>
      <c r="AQ121" s="38">
        <f t="shared" si="510"/>
        <v>-2</v>
      </c>
      <c r="AR121" s="38">
        <f t="shared" si="510"/>
        <v>-2.1999999999999993</v>
      </c>
      <c r="AS121" s="38">
        <f t="shared" si="510"/>
        <v>-1.7999999999999998</v>
      </c>
      <c r="AT121" s="38">
        <f t="shared" si="510"/>
        <v>-2.2300000000000004</v>
      </c>
      <c r="AU121" s="38">
        <f t="shared" si="510"/>
        <v>0.26</v>
      </c>
      <c r="AV121" s="38">
        <f t="shared" si="510"/>
        <v>-9.9999999999999978E-2</v>
      </c>
      <c r="AW121" s="38">
        <f t="shared" si="510"/>
        <v>4.9799999999999995</v>
      </c>
      <c r="AX121" s="34"/>
      <c r="AY121" s="34"/>
      <c r="AZ121" s="34"/>
      <c r="BA121" s="34"/>
      <c r="BB121" s="34"/>
      <c r="BC121" s="34" t="str">
        <f t="shared" si="511"/>
        <v>gr2</v>
      </c>
      <c r="BD121" s="38">
        <f t="shared" ref="BD121:BL121" si="515">BD112-BD$111</f>
        <v>2.7097175909217635</v>
      </c>
      <c r="BE121" s="38">
        <f t="shared" si="515"/>
        <v>5.1492637381119799</v>
      </c>
      <c r="BF121" s="38" t="e">
        <f t="shared" si="515"/>
        <v>#VALUE!</v>
      </c>
      <c r="BG121" s="38">
        <f t="shared" si="515"/>
        <v>-2.554266412958532</v>
      </c>
      <c r="BH121" s="38">
        <f t="shared" si="515"/>
        <v>-2.3140989026179541</v>
      </c>
      <c r="BI121" s="38">
        <f t="shared" si="515"/>
        <v>-2.4854763258029453</v>
      </c>
      <c r="BJ121" s="38">
        <f t="shared" si="515"/>
        <v>-0.32428563818824196</v>
      </c>
      <c r="BK121" s="38">
        <f t="shared" si="515"/>
        <v>-0.30335145346877779</v>
      </c>
      <c r="BL121" s="38">
        <f t="shared" si="515"/>
        <v>4.7140843264351755</v>
      </c>
      <c r="BM121" s="34"/>
      <c r="BN121" s="58"/>
      <c r="BO121" s="61" t="s">
        <v>139</v>
      </c>
      <c r="BP121" s="61">
        <v>2.0925464176824864</v>
      </c>
      <c r="BQ121" s="61">
        <v>-9.1088409037751781</v>
      </c>
      <c r="BR121" s="61" t="s">
        <v>18</v>
      </c>
      <c r="BS121" s="61">
        <v>0.83964369592137711</v>
      </c>
      <c r="BT121" s="61">
        <v>3.2475743713750709</v>
      </c>
      <c r="BU121" s="61">
        <v>2.293997618206248</v>
      </c>
      <c r="BV121" s="61">
        <v>-5.7788540721325781</v>
      </c>
      <c r="BW121" s="61">
        <v>3.6851254211057158</v>
      </c>
      <c r="BX121" s="61">
        <v>-1.8134959892179001</v>
      </c>
      <c r="BY121" s="58"/>
    </row>
    <row r="122" spans="16:77" x14ac:dyDescent="0.25">
      <c r="X122" s="34"/>
      <c r="Y122" s="34"/>
      <c r="Z122" s="34"/>
      <c r="AA122" s="37" t="str">
        <f t="shared" si="500"/>
        <v>gr3</v>
      </c>
      <c r="AB122" s="5">
        <f t="shared" si="501"/>
        <v>13</v>
      </c>
      <c r="AC122" s="5">
        <f t="shared" si="502"/>
        <v>25</v>
      </c>
      <c r="AD122" s="5">
        <f t="shared" si="503"/>
        <v>20</v>
      </c>
      <c r="AE122" s="5">
        <f t="shared" si="504"/>
        <v>16.259999999999998</v>
      </c>
      <c r="AF122" s="5">
        <f t="shared" si="505"/>
        <v>13.7</v>
      </c>
      <c r="AG122" s="5">
        <f t="shared" si="506"/>
        <v>14.9</v>
      </c>
      <c r="AH122" s="5">
        <f t="shared" si="507"/>
        <v>22.9</v>
      </c>
      <c r="AI122" s="5">
        <f t="shared" si="508"/>
        <v>13.23</v>
      </c>
      <c r="AJ122" s="5">
        <f t="shared" si="509"/>
        <v>18.84</v>
      </c>
      <c r="AK122" s="34"/>
      <c r="AL122" s="34"/>
      <c r="AM122" s="34"/>
      <c r="AN122" s="34" t="str">
        <f t="shared" si="513"/>
        <v>gr3</v>
      </c>
      <c r="AO122" s="38">
        <f t="shared" si="514"/>
        <v>11</v>
      </c>
      <c r="AP122" s="38">
        <f t="shared" si="510"/>
        <v>-1</v>
      </c>
      <c r="AQ122" s="38">
        <f t="shared" si="510"/>
        <v>1</v>
      </c>
      <c r="AR122" s="38">
        <f t="shared" si="510"/>
        <v>0.74000000000000021</v>
      </c>
      <c r="AS122" s="38">
        <f t="shared" si="510"/>
        <v>1.3000000000000007</v>
      </c>
      <c r="AT122" s="38">
        <f t="shared" si="510"/>
        <v>1.1000000000000001</v>
      </c>
      <c r="AU122" s="38">
        <f t="shared" si="510"/>
        <v>-3.6399999999999997</v>
      </c>
      <c r="AV122" s="38">
        <f t="shared" si="510"/>
        <v>-0.03</v>
      </c>
      <c r="AW122" s="38">
        <f t="shared" si="510"/>
        <v>4.0000000000000008E-2</v>
      </c>
      <c r="AX122" s="34"/>
      <c r="AY122" s="34"/>
      <c r="AZ122" s="34"/>
      <c r="BA122" s="34"/>
      <c r="BB122" s="34"/>
      <c r="BC122" s="34" t="str">
        <f t="shared" si="511"/>
        <v>gr3</v>
      </c>
      <c r="BD122" s="38">
        <f t="shared" ref="BD122:BL122" si="516">BD113-BD$111</f>
        <v>12.688091603626225</v>
      </c>
      <c r="BE122" s="38">
        <f t="shared" si="516"/>
        <v>0.17340392061355914</v>
      </c>
      <c r="BF122" s="38" t="e">
        <f t="shared" si="516"/>
        <v>#VALUE!</v>
      </c>
      <c r="BG122" s="38">
        <f t="shared" si="516"/>
        <v>1.0299037873764967</v>
      </c>
      <c r="BH122" s="38">
        <f t="shared" si="516"/>
        <v>1.300107034072028</v>
      </c>
      <c r="BI122" s="38">
        <f t="shared" si="516"/>
        <v>1.4316614675357093</v>
      </c>
      <c r="BJ122" s="38">
        <f t="shared" si="516"/>
        <v>-3.4292510275916128</v>
      </c>
      <c r="BK122" s="38">
        <f t="shared" si="516"/>
        <v>0.2265187465402474</v>
      </c>
      <c r="BL122" s="38">
        <f t="shared" si="516"/>
        <v>0.40244576967319912</v>
      </c>
      <c r="BM122" s="34"/>
      <c r="BN122" s="58"/>
      <c r="BO122" s="61" t="s">
        <v>140</v>
      </c>
      <c r="BP122" s="61">
        <v>4.8529152976274332</v>
      </c>
      <c r="BQ122" s="61">
        <v>-7.6292838075449279</v>
      </c>
      <c r="BR122" s="61" t="s">
        <v>18</v>
      </c>
      <c r="BS122" s="61">
        <v>0.97371792615404906</v>
      </c>
      <c r="BT122" s="61">
        <v>2.7029324717379377</v>
      </c>
      <c r="BU122" s="61">
        <v>1.9987274750115365</v>
      </c>
      <c r="BV122" s="61">
        <v>-5.8312979185203702</v>
      </c>
      <c r="BW122" s="61">
        <v>3.8322918446229313</v>
      </c>
      <c r="BX122" s="61">
        <v>-1.9457292516235059</v>
      </c>
      <c r="BY122" s="58"/>
    </row>
    <row r="123" spans="16:77" x14ac:dyDescent="0.25">
      <c r="X123" s="34"/>
      <c r="Y123" s="34"/>
      <c r="Z123" s="34"/>
      <c r="AA123" s="37" t="str">
        <f t="shared" si="500"/>
        <v>gr4</v>
      </c>
      <c r="AB123" s="5">
        <f t="shared" si="501"/>
        <v>7</v>
      </c>
      <c r="AC123" s="5">
        <f t="shared" si="502"/>
        <v>19</v>
      </c>
      <c r="AD123" s="5">
        <f t="shared" si="503"/>
        <v>17</v>
      </c>
      <c r="AE123" s="5">
        <f t="shared" si="504"/>
        <v>12.64</v>
      </c>
      <c r="AF123" s="5">
        <f t="shared" si="505"/>
        <v>10.77</v>
      </c>
      <c r="AG123" s="5">
        <f t="shared" si="506"/>
        <v>11.98</v>
      </c>
      <c r="AH123" s="5">
        <f t="shared" si="507"/>
        <v>10.01</v>
      </c>
      <c r="AI123" s="5">
        <f t="shared" si="508"/>
        <v>13.08</v>
      </c>
      <c r="AJ123" s="5">
        <f t="shared" si="509"/>
        <v>10.25</v>
      </c>
      <c r="AK123" s="34"/>
      <c r="AL123" s="34"/>
      <c r="AM123" s="34"/>
      <c r="AN123" s="34" t="str">
        <f t="shared" si="513"/>
        <v>gr4</v>
      </c>
      <c r="AO123" s="38">
        <f t="shared" si="514"/>
        <v>8</v>
      </c>
      <c r="AP123" s="38">
        <f t="shared" si="510"/>
        <v>-4</v>
      </c>
      <c r="AQ123" s="38">
        <f t="shared" si="510"/>
        <v>-5</v>
      </c>
      <c r="AR123" s="38">
        <f t="shared" si="510"/>
        <v>-4.6399999999999997</v>
      </c>
      <c r="AS123" s="38">
        <f t="shared" si="510"/>
        <v>-4.7699999999999996</v>
      </c>
      <c r="AT123" s="38">
        <f t="shared" si="510"/>
        <v>-4.9800000000000004</v>
      </c>
      <c r="AU123" s="38">
        <f t="shared" si="510"/>
        <v>0.25</v>
      </c>
      <c r="AV123" s="38">
        <f t="shared" si="510"/>
        <v>-8.8800000000000008</v>
      </c>
      <c r="AW123" s="38">
        <f t="shared" si="510"/>
        <v>-0.37</v>
      </c>
      <c r="AX123" s="34"/>
      <c r="AY123" s="34"/>
      <c r="AZ123" s="34"/>
      <c r="BA123" s="34"/>
      <c r="BB123" s="34"/>
      <c r="BC123" s="34" t="str">
        <f t="shared" si="511"/>
        <v>gr4</v>
      </c>
      <c r="BD123" s="38">
        <f t="shared" ref="BD123:BL123" si="517">BD114-BD$111</f>
        <v>8.0258308997393009</v>
      </c>
      <c r="BE123" s="38">
        <f t="shared" si="517"/>
        <v>-2.4224310830174911</v>
      </c>
      <c r="BF123" s="38" t="e">
        <f t="shared" si="517"/>
        <v>#VALUE!</v>
      </c>
      <c r="BG123" s="38">
        <f t="shared" si="517"/>
        <v>-4.6329763169933402</v>
      </c>
      <c r="BH123" s="38">
        <f t="shared" si="517"/>
        <v>-4.7766636694000635</v>
      </c>
      <c r="BI123" s="38">
        <f t="shared" si="517"/>
        <v>6.8799017509379219</v>
      </c>
      <c r="BJ123" s="38">
        <f t="shared" si="517"/>
        <v>0.21155731189774851</v>
      </c>
      <c r="BK123" s="38">
        <f t="shared" si="517"/>
        <v>-8.5958374985218402</v>
      </c>
      <c r="BL123" s="38">
        <f t="shared" si="517"/>
        <v>-9.7471185535371596E-3</v>
      </c>
      <c r="BM123" s="34"/>
      <c r="BN123" s="58"/>
      <c r="BO123" s="61" t="s">
        <v>3</v>
      </c>
      <c r="BP123" s="61">
        <v>-2.0397663720447181E-2</v>
      </c>
      <c r="BQ123" s="61">
        <v>-10.47441426683055</v>
      </c>
      <c r="BR123" s="61" t="s">
        <v>18</v>
      </c>
      <c r="BS123" s="61">
        <v>-4.7807170701167845</v>
      </c>
      <c r="BT123" s="61">
        <v>-2.9753683163146274</v>
      </c>
      <c r="BU123" s="61">
        <v>7.6633874559721074</v>
      </c>
      <c r="BV123" s="61">
        <v>-2.119403205852596</v>
      </c>
      <c r="BW123" s="61">
        <v>-5.074982511732923</v>
      </c>
      <c r="BX123" s="61">
        <v>-2.3323770700517206</v>
      </c>
      <c r="BY123" s="58"/>
    </row>
    <row r="124" spans="16:77" x14ac:dyDescent="0.25">
      <c r="X124" s="34"/>
      <c r="Y124" s="34"/>
      <c r="Z124" s="34"/>
      <c r="AA124" s="37" t="str">
        <f t="shared" si="500"/>
        <v>gr5</v>
      </c>
      <c r="AB124" s="5">
        <f t="shared" si="501"/>
        <v>6</v>
      </c>
      <c r="AC124" s="5">
        <f t="shared" si="502"/>
        <v>11</v>
      </c>
      <c r="AD124" s="5">
        <f t="shared" si="503"/>
        <v>10.5</v>
      </c>
      <c r="AE124" s="5">
        <f t="shared" si="504"/>
        <v>6.9499999999999993</v>
      </c>
      <c r="AF124" s="5">
        <f t="shared" si="505"/>
        <v>4.26</v>
      </c>
      <c r="AG124" s="5">
        <f t="shared" si="506"/>
        <v>5.51</v>
      </c>
      <c r="AH124" s="5">
        <f t="shared" si="507"/>
        <v>11.08</v>
      </c>
      <c r="AI124" s="5">
        <f t="shared" si="508"/>
        <v>5.3</v>
      </c>
      <c r="AJ124" s="5">
        <f t="shared" si="509"/>
        <v>14.120000000000001</v>
      </c>
      <c r="AK124" s="34"/>
      <c r="AL124" s="34"/>
      <c r="AM124" s="34"/>
      <c r="AN124" s="34" t="str">
        <f t="shared" si="513"/>
        <v>gr5</v>
      </c>
      <c r="AO124" s="38">
        <f t="shared" si="514"/>
        <v>10</v>
      </c>
      <c r="AP124" s="38">
        <f t="shared" si="510"/>
        <v>5</v>
      </c>
      <c r="AQ124" s="38">
        <f t="shared" si="510"/>
        <v>2.5</v>
      </c>
      <c r="AR124" s="38">
        <f t="shared" si="510"/>
        <v>2.0500000000000007</v>
      </c>
      <c r="AS124" s="38">
        <f t="shared" si="510"/>
        <v>2.74</v>
      </c>
      <c r="AT124" s="38">
        <f t="shared" si="510"/>
        <v>2.4900000000000002</v>
      </c>
      <c r="AU124" s="38">
        <f t="shared" si="510"/>
        <v>0.18</v>
      </c>
      <c r="AV124" s="38">
        <f t="shared" si="510"/>
        <v>-9.9999999999999978E-2</v>
      </c>
      <c r="AW124" s="38">
        <f t="shared" si="510"/>
        <v>-3.24</v>
      </c>
      <c r="AX124" s="34"/>
      <c r="AY124" s="34"/>
      <c r="AZ124" s="34"/>
      <c r="BA124" s="34"/>
      <c r="BB124" s="34"/>
      <c r="BC124" s="34" t="str">
        <f t="shared" si="511"/>
        <v>gr5</v>
      </c>
      <c r="BD124" s="38">
        <f t="shared" ref="BD124:BL124" si="518">BD115-BD$111</f>
        <v>10.635417657240872</v>
      </c>
      <c r="BE124" s="38">
        <f t="shared" si="518"/>
        <v>5.2592864104454948</v>
      </c>
      <c r="BF124" s="38" t="e">
        <f t="shared" si="518"/>
        <v>#VALUE!</v>
      </c>
      <c r="BG124" s="38">
        <f t="shared" si="518"/>
        <v>2.5187975849004784</v>
      </c>
      <c r="BH124" s="38">
        <f t="shared" si="518"/>
        <v>7.3783284703298868</v>
      </c>
      <c r="BI124" s="38">
        <f t="shared" si="518"/>
        <v>2.9381112951064106</v>
      </c>
      <c r="BJ124" s="38">
        <f t="shared" si="518"/>
        <v>0.65022568623464716</v>
      </c>
      <c r="BK124" s="38">
        <f t="shared" si="518"/>
        <v>0.19189486727483107</v>
      </c>
      <c r="BL124" s="38">
        <f t="shared" si="518"/>
        <v>-2.3466846562705177</v>
      </c>
      <c r="BM124" s="34"/>
      <c r="BN124" s="58"/>
      <c r="BO124" s="61" t="s">
        <v>141</v>
      </c>
      <c r="BP124" s="61">
        <v>-0.19214450942244235</v>
      </c>
      <c r="BQ124" s="61">
        <v>-11.345387050624469</v>
      </c>
      <c r="BR124" s="61" t="s">
        <v>18</v>
      </c>
      <c r="BS124" s="61">
        <v>-4.7752727731654243</v>
      </c>
      <c r="BT124" s="61">
        <v>-3.0195848463814228</v>
      </c>
      <c r="BU124" s="61">
        <v>-4.3676647068459271</v>
      </c>
      <c r="BV124" s="61">
        <v>-2.109297986734942</v>
      </c>
      <c r="BW124" s="61">
        <v>-5.0886047997882216</v>
      </c>
      <c r="BX124" s="61">
        <v>-2.3216755332418622</v>
      </c>
      <c r="BY124" s="58"/>
    </row>
    <row r="125" spans="16:77" x14ac:dyDescent="0.25">
      <c r="X125" s="34"/>
      <c r="Y125" s="34"/>
      <c r="Z125" s="34"/>
      <c r="AA125" s="37" t="str">
        <f t="shared" si="500"/>
        <v>gr6</v>
      </c>
      <c r="AB125" s="5">
        <f t="shared" si="501"/>
        <v>12.5</v>
      </c>
      <c r="AC125" s="5">
        <f t="shared" si="502"/>
        <v>18</v>
      </c>
      <c r="AD125" s="5">
        <f t="shared" si="503"/>
        <v>24</v>
      </c>
      <c r="AE125" s="5">
        <f t="shared" si="504"/>
        <v>20.079999999999998</v>
      </c>
      <c r="AF125" s="5">
        <f t="shared" si="505"/>
        <v>17.7</v>
      </c>
      <c r="AG125" s="5">
        <f t="shared" si="506"/>
        <v>19.600000000000001</v>
      </c>
      <c r="AH125" s="5">
        <f t="shared" si="507"/>
        <v>13.12</v>
      </c>
      <c r="AI125" s="5">
        <f t="shared" si="508"/>
        <v>7.04</v>
      </c>
      <c r="AJ125" s="5">
        <f t="shared" si="509"/>
        <v>13.2</v>
      </c>
      <c r="AK125" s="34"/>
      <c r="AL125" s="34"/>
      <c r="AM125" s="34"/>
      <c r="AN125" s="34" t="str">
        <f t="shared" si="513"/>
        <v>gr6</v>
      </c>
      <c r="AO125" s="38">
        <f t="shared" si="514"/>
        <v>5.5</v>
      </c>
      <c r="AP125" s="38">
        <f t="shared" si="510"/>
        <v>0</v>
      </c>
      <c r="AQ125" s="38">
        <f t="shared" si="510"/>
        <v>-9</v>
      </c>
      <c r="AR125" s="38">
        <f t="shared" si="510"/>
        <v>-9.08</v>
      </c>
      <c r="AS125" s="38">
        <f t="shared" si="510"/>
        <v>-8.6999999999999993</v>
      </c>
      <c r="AT125" s="38">
        <f t="shared" si="510"/>
        <v>-9.6</v>
      </c>
      <c r="AU125" s="38">
        <f t="shared" si="510"/>
        <v>0.14000000000000001</v>
      </c>
      <c r="AV125" s="38">
        <f t="shared" si="510"/>
        <v>0.16</v>
      </c>
      <c r="AW125" s="38">
        <f t="shared" si="510"/>
        <v>-0.32</v>
      </c>
      <c r="AX125" s="34"/>
      <c r="AY125" s="34"/>
      <c r="AZ125" s="34"/>
      <c r="BA125" s="34"/>
      <c r="BB125" s="34"/>
      <c r="BC125" s="34" t="str">
        <f t="shared" si="511"/>
        <v>gr6</v>
      </c>
      <c r="BD125" s="38">
        <f t="shared" ref="BD125:BL125" si="519">BD116-BD$111</f>
        <v>6.4271712239069982</v>
      </c>
      <c r="BE125" s="38">
        <f t="shared" si="519"/>
        <v>1.2258946662388821</v>
      </c>
      <c r="BF125" s="38" t="e">
        <f t="shared" si="519"/>
        <v>#VALUE!</v>
      </c>
      <c r="BG125" s="38">
        <f t="shared" si="519"/>
        <v>-8.7248738453525263</v>
      </c>
      <c r="BH125" s="38">
        <f t="shared" si="519"/>
        <v>-9.3548091132544009</v>
      </c>
      <c r="BI125" s="38">
        <f t="shared" si="519"/>
        <v>-9.3352564290439055</v>
      </c>
      <c r="BJ125" s="38" t="e">
        <f t="shared" si="519"/>
        <v>#VALUE!</v>
      </c>
      <c r="BK125" s="38">
        <f t="shared" si="519"/>
        <v>0.21056324415869954</v>
      </c>
      <c r="BL125" s="38">
        <f t="shared" si="519"/>
        <v>-8.4739864445110946E-2</v>
      </c>
      <c r="BM125" s="34"/>
      <c r="BN125" s="58"/>
      <c r="BO125" s="61" t="s">
        <v>142</v>
      </c>
      <c r="BP125" s="61">
        <v>0.64991984464163699</v>
      </c>
      <c r="BQ125" s="61">
        <v>-9.068000629979343</v>
      </c>
      <c r="BR125" s="61" t="s">
        <v>18</v>
      </c>
      <c r="BS125" s="61">
        <v>-4.5728984640343162</v>
      </c>
      <c r="BT125" s="61">
        <v>-2.926035992147221</v>
      </c>
      <c r="BU125" s="61">
        <v>7.9074835824378491</v>
      </c>
      <c r="BV125" s="61">
        <v>-2.2062254675674038</v>
      </c>
      <c r="BW125" s="61">
        <v>-5.1299011097532237</v>
      </c>
      <c r="BX125" s="61">
        <v>-2.1853736436085858</v>
      </c>
      <c r="BY125" s="58"/>
    </row>
    <row r="126" spans="16:77" x14ac:dyDescent="0.25"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34"/>
      <c r="AI126" s="34"/>
      <c r="AJ126" s="34"/>
      <c r="AK126" s="34"/>
      <c r="AL126" s="34"/>
      <c r="AM126" s="34"/>
      <c r="AN126" s="34"/>
      <c r="AO126" s="38"/>
      <c r="AP126" s="34"/>
      <c r="AQ126" s="34"/>
      <c r="AR126" s="34"/>
      <c r="AS126" s="34"/>
      <c r="AT126" s="34"/>
      <c r="AU126" s="34"/>
      <c r="AV126" s="34"/>
      <c r="AW126" s="34"/>
      <c r="AX126" s="34"/>
      <c r="AY126" s="34"/>
      <c r="AZ126" s="34"/>
      <c r="BA126" s="34"/>
      <c r="BB126" s="34"/>
      <c r="BC126" s="34"/>
      <c r="BD126" s="34"/>
      <c r="BE126" s="34"/>
      <c r="BF126" s="34"/>
      <c r="BG126" s="34"/>
      <c r="BH126" s="34"/>
      <c r="BI126" s="34"/>
      <c r="BJ126" s="34"/>
      <c r="BK126" s="34"/>
      <c r="BL126" s="34"/>
      <c r="BM126" s="34"/>
      <c r="BN126" s="58"/>
      <c r="BO126" s="61" t="s">
        <v>143</v>
      </c>
      <c r="BP126" s="61">
        <v>-0.42303443916361788</v>
      </c>
      <c r="BQ126" s="61">
        <v>-10.767631815961753</v>
      </c>
      <c r="BR126" s="61" t="s">
        <v>18</v>
      </c>
      <c r="BS126" s="61">
        <v>-5.208941394104893</v>
      </c>
      <c r="BT126" s="61">
        <v>-2.9782937749206182</v>
      </c>
      <c r="BU126" s="61">
        <v>7.8563573931874542</v>
      </c>
      <c r="BV126" s="61">
        <v>-2.0312740254662409</v>
      </c>
      <c r="BW126" s="61">
        <v>-4.9901971339770768</v>
      </c>
      <c r="BX126" s="61">
        <v>-2.5913140893002899</v>
      </c>
      <c r="BY126" s="58"/>
    </row>
    <row r="127" spans="16:77" ht="23.25" x14ac:dyDescent="0.35">
      <c r="AM127" s="34"/>
      <c r="AN127" s="35" t="str">
        <f>AM109</f>
        <v>inputed pattern without corrections</v>
      </c>
      <c r="AO127" s="34"/>
      <c r="AP127" s="34"/>
      <c r="AQ127" s="34"/>
      <c r="AR127" s="34"/>
      <c r="AS127" s="34"/>
      <c r="AT127" s="34"/>
      <c r="AU127" s="34"/>
      <c r="AV127" s="34"/>
      <c r="AW127" s="34"/>
      <c r="AX127" s="34"/>
      <c r="AY127" s="34"/>
      <c r="AZ127" s="34"/>
      <c r="BA127" s="34"/>
      <c r="BB127" s="34"/>
      <c r="BC127" s="35" t="str">
        <f>BB109</f>
        <v>result</v>
      </c>
      <c r="BD127" s="34"/>
      <c r="BE127" s="34"/>
      <c r="BF127" s="34"/>
      <c r="BG127" s="34"/>
      <c r="BH127" s="34"/>
      <c r="BI127" s="34"/>
      <c r="BJ127" s="34"/>
      <c r="BK127" s="34"/>
      <c r="BL127" s="34"/>
      <c r="BM127" s="34"/>
      <c r="BN127" s="58"/>
      <c r="BO127" s="61" t="s">
        <v>4</v>
      </c>
      <c r="BP127" s="61">
        <v>2.5891890937811239</v>
      </c>
      <c r="BQ127" s="61">
        <v>-2.7926967733675641</v>
      </c>
      <c r="BR127" s="61" t="s">
        <v>18</v>
      </c>
      <c r="BS127" s="61">
        <v>2.3710568317770342</v>
      </c>
      <c r="BT127" s="61">
        <v>9.1796238234153229</v>
      </c>
      <c r="BU127" s="61">
        <v>3.721597000140596</v>
      </c>
      <c r="BV127" s="61">
        <v>-1.6807348315156974</v>
      </c>
      <c r="BW127" s="61">
        <v>3.7127498540637487</v>
      </c>
      <c r="BX127" s="61">
        <v>-4.6693146077687011</v>
      </c>
      <c r="BY127" s="58"/>
    </row>
    <row r="128" spans="16:77" x14ac:dyDescent="0.25">
      <c r="AM128" s="34"/>
      <c r="AN128" s="34"/>
      <c r="AO128" s="34" t="str">
        <f>AO119</f>
        <v>g1</v>
      </c>
      <c r="AP128" s="34" t="str">
        <f t="shared" ref="AP128:AW128" si="520">AP119</f>
        <v>g2</v>
      </c>
      <c r="AQ128" s="34" t="str">
        <f t="shared" si="520"/>
        <v>g3</v>
      </c>
      <c r="AR128" s="34" t="str">
        <f t="shared" si="520"/>
        <v>g4</v>
      </c>
      <c r="AS128" s="34" t="str">
        <f t="shared" si="520"/>
        <v>g5</v>
      </c>
      <c r="AT128" s="34" t="str">
        <f t="shared" si="520"/>
        <v>g6</v>
      </c>
      <c r="AU128" s="34" t="str">
        <f t="shared" si="520"/>
        <v>g7</v>
      </c>
      <c r="AV128" s="34" t="str">
        <f t="shared" si="520"/>
        <v>g8</v>
      </c>
      <c r="AW128" s="34" t="str">
        <f t="shared" si="520"/>
        <v>g9</v>
      </c>
      <c r="AX128" s="34"/>
      <c r="AY128" s="34"/>
      <c r="AZ128" s="34"/>
      <c r="BA128" s="34"/>
      <c r="BB128" s="34"/>
      <c r="BC128" s="34"/>
      <c r="BD128" s="34" t="str">
        <f>BD119</f>
        <v>g1</v>
      </c>
      <c r="BE128" s="34" t="str">
        <f t="shared" ref="BE128:BL128" si="521">BE119</f>
        <v>g2</v>
      </c>
      <c r="BF128" s="34" t="str">
        <f t="shared" si="521"/>
        <v>g3</v>
      </c>
      <c r="BG128" s="34" t="str">
        <f t="shared" si="521"/>
        <v>g4</v>
      </c>
      <c r="BH128" s="34" t="str">
        <f t="shared" si="521"/>
        <v>g5</v>
      </c>
      <c r="BI128" s="34" t="str">
        <f t="shared" si="521"/>
        <v>g6</v>
      </c>
      <c r="BJ128" s="34" t="str">
        <f t="shared" si="521"/>
        <v>g7</v>
      </c>
      <c r="BK128" s="34" t="str">
        <f t="shared" si="521"/>
        <v>g8</v>
      </c>
      <c r="BL128" s="34" t="str">
        <f t="shared" si="521"/>
        <v>g9</v>
      </c>
      <c r="BM128" s="34"/>
      <c r="BN128" s="58"/>
      <c r="BO128" s="61" t="s">
        <v>144</v>
      </c>
      <c r="BP128" s="61">
        <v>3.1130451768824283</v>
      </c>
      <c r="BQ128" s="61">
        <v>-3.3165528564688675</v>
      </c>
      <c r="BR128" s="61" t="s">
        <v>18</v>
      </c>
      <c r="BS128" s="61">
        <v>2.3710568317770342</v>
      </c>
      <c r="BT128" s="61">
        <v>9.1796238234153229</v>
      </c>
      <c r="BU128" s="61">
        <v>3.721597000140596</v>
      </c>
      <c r="BV128" s="61">
        <v>-1.6807348315156974</v>
      </c>
      <c r="BW128" s="61">
        <v>3.7127498540637487</v>
      </c>
      <c r="BX128" s="61">
        <v>-4.6693146077687011</v>
      </c>
      <c r="BY128" s="58"/>
    </row>
    <row r="129" spans="39:77" x14ac:dyDescent="0.25">
      <c r="AM129" s="34"/>
      <c r="AN129" s="34" t="str">
        <f>AN120</f>
        <v>gr1</v>
      </c>
      <c r="AO129" s="57">
        <f>-(T7+AE7+G7-$AB$7-$AM$7-$O$7)</f>
        <v>-5.1199999999999992</v>
      </c>
      <c r="AP129" s="57">
        <f t="shared" ref="AP129:AW134" si="522">-(U7+AF7+H7-$AB$7-$AM$7-$O$7)</f>
        <v>-5.1199999999999992</v>
      </c>
      <c r="AQ129" s="57">
        <f t="shared" si="522"/>
        <v>-2.1199999999999992</v>
      </c>
      <c r="AR129" s="57">
        <f t="shared" si="522"/>
        <v>1.88</v>
      </c>
      <c r="AS129" s="57">
        <f t="shared" si="522"/>
        <v>3.88</v>
      </c>
      <c r="AT129" s="57">
        <f t="shared" si="522"/>
        <v>2.88</v>
      </c>
      <c r="AU129" s="57">
        <f t="shared" si="522"/>
        <v>-0.37999999999999901</v>
      </c>
      <c r="AV129" s="57">
        <f t="shared" si="522"/>
        <v>5.68</v>
      </c>
      <c r="AW129" s="57">
        <f t="shared" si="522"/>
        <v>0</v>
      </c>
      <c r="AX129" s="34"/>
      <c r="AY129" s="34"/>
      <c r="AZ129" s="34"/>
      <c r="BA129" s="34"/>
      <c r="BB129" s="34"/>
      <c r="BC129" s="34" t="str">
        <f>BC120</f>
        <v>gr1</v>
      </c>
      <c r="BD129" s="57">
        <f t="shared" ref="BD129:BK134" si="523">BD111-$BL$111</f>
        <v>-5.7235986119615641</v>
      </c>
      <c r="BE129" s="57">
        <f t="shared" si="523"/>
        <v>-5.7293532323148755</v>
      </c>
      <c r="BF129" s="57">
        <f t="shared" si="523"/>
        <v>-1.5715390449033455</v>
      </c>
      <c r="BG129" s="57">
        <f t="shared" si="523"/>
        <v>2.1748891983747392</v>
      </c>
      <c r="BH129" s="57">
        <f t="shared" si="523"/>
        <v>4.1239253045836204</v>
      </c>
      <c r="BI129" s="57">
        <f t="shared" si="523"/>
        <v>3.1061156565323689</v>
      </c>
      <c r="BJ129" s="57">
        <f t="shared" si="523"/>
        <v>-8.330566252161109E-3</v>
      </c>
      <c r="BK129" s="57">
        <f t="shared" si="523"/>
        <v>5.8434849382871015</v>
      </c>
      <c r="BL129" s="57">
        <f>BL111-$BL$111</f>
        <v>0</v>
      </c>
      <c r="BM129" s="34"/>
      <c r="BN129" s="58"/>
      <c r="BO129" s="61" t="s">
        <v>145</v>
      </c>
      <c r="BP129" s="61">
        <v>2.06533301067982</v>
      </c>
      <c r="BQ129" s="61">
        <v>-2.2688406902662601</v>
      </c>
      <c r="BR129" s="61" t="s">
        <v>18</v>
      </c>
      <c r="BS129" s="61" t="s">
        <v>18</v>
      </c>
      <c r="BT129" s="61" t="s">
        <v>18</v>
      </c>
      <c r="BU129" s="61" t="s">
        <v>18</v>
      </c>
      <c r="BV129" s="61" t="s">
        <v>18</v>
      </c>
      <c r="BW129" s="61" t="s">
        <v>18</v>
      </c>
      <c r="BX129" s="61" t="s">
        <v>18</v>
      </c>
      <c r="BY129" s="58"/>
    </row>
    <row r="130" spans="39:77" x14ac:dyDescent="0.25">
      <c r="AM130" s="34"/>
      <c r="AN130" s="34" t="str">
        <f t="shared" ref="AN130:AN134" si="524">AN121</f>
        <v>gr2</v>
      </c>
      <c r="AO130" s="57">
        <f t="shared" ref="AO130:AO134" si="525">-(T8+AE8+G8-$AB$7-$AM$7-$O$7)</f>
        <v>-3.1199999999999992</v>
      </c>
      <c r="AP130" s="57">
        <f t="shared" si="522"/>
        <v>0.87999999999999989</v>
      </c>
      <c r="AQ130" s="57">
        <f t="shared" si="522"/>
        <v>-4.1199999999999992</v>
      </c>
      <c r="AR130" s="57">
        <f t="shared" si="522"/>
        <v>-0.31999999999999851</v>
      </c>
      <c r="AS130" s="57">
        <f t="shared" si="522"/>
        <v>2.08</v>
      </c>
      <c r="AT130" s="57">
        <f t="shared" si="522"/>
        <v>0.64999999999999947</v>
      </c>
      <c r="AU130" s="57">
        <f t="shared" si="522"/>
        <v>-0.11999999999999922</v>
      </c>
      <c r="AV130" s="57">
        <f t="shared" si="522"/>
        <v>5.58</v>
      </c>
      <c r="AW130" s="57">
        <f t="shared" si="522"/>
        <v>4.9799999999999995</v>
      </c>
      <c r="AX130" s="34"/>
      <c r="AY130" s="34"/>
      <c r="AZ130" s="34"/>
      <c r="BA130" s="34"/>
      <c r="BB130" s="34"/>
      <c r="BC130" s="34" t="str">
        <f t="shared" ref="BC130:BC134" si="526">BC121</f>
        <v>gr2</v>
      </c>
      <c r="BD130" s="57">
        <f t="shared" si="523"/>
        <v>-3.0138810210398006</v>
      </c>
      <c r="BE130" s="57">
        <f t="shared" si="523"/>
        <v>-0.58008949420289557</v>
      </c>
      <c r="BF130" s="57" t="e">
        <f t="shared" si="523"/>
        <v>#VALUE!</v>
      </c>
      <c r="BG130" s="57">
        <f t="shared" si="523"/>
        <v>-0.37937721458379281</v>
      </c>
      <c r="BH130" s="57">
        <f t="shared" si="523"/>
        <v>1.8098264019656658</v>
      </c>
      <c r="BI130" s="57">
        <f t="shared" si="523"/>
        <v>0.62063933072942357</v>
      </c>
      <c r="BJ130" s="57">
        <f t="shared" si="523"/>
        <v>-0.33261620444040307</v>
      </c>
      <c r="BK130" s="57">
        <f t="shared" si="523"/>
        <v>5.5401334848183232</v>
      </c>
      <c r="BL130" s="57">
        <f t="shared" ref="BL130:BL134" si="527">BL112-$BL$111</f>
        <v>4.7140843264351755</v>
      </c>
      <c r="BM130" s="34"/>
      <c r="BN130" s="58"/>
      <c r="BO130" s="61" t="s">
        <v>146</v>
      </c>
      <c r="BP130" s="61" t="s">
        <v>18</v>
      </c>
      <c r="BQ130" s="61" t="s">
        <v>18</v>
      </c>
      <c r="BR130" s="61" t="s">
        <v>18</v>
      </c>
      <c r="BS130" s="61" t="s">
        <v>18</v>
      </c>
      <c r="BT130" s="61" t="s">
        <v>18</v>
      </c>
      <c r="BU130" s="61" t="s">
        <v>18</v>
      </c>
      <c r="BV130" s="61" t="s">
        <v>18</v>
      </c>
      <c r="BW130" s="61" t="s">
        <v>18</v>
      </c>
      <c r="BX130" s="61" t="s">
        <v>18</v>
      </c>
      <c r="BY130" s="58"/>
    </row>
    <row r="131" spans="39:77" x14ac:dyDescent="0.25">
      <c r="AM131" s="34"/>
      <c r="AN131" s="34" t="str">
        <f t="shared" si="524"/>
        <v>gr3</v>
      </c>
      <c r="AO131" s="57">
        <f t="shared" si="525"/>
        <v>5.88</v>
      </c>
      <c r="AP131" s="57">
        <f t="shared" si="522"/>
        <v>-6.1199999999999992</v>
      </c>
      <c r="AQ131" s="57">
        <f t="shared" si="522"/>
        <v>-1.1199999999999992</v>
      </c>
      <c r="AR131" s="57">
        <f t="shared" si="522"/>
        <v>2.62</v>
      </c>
      <c r="AS131" s="57">
        <f t="shared" si="522"/>
        <v>5.1800000000000006</v>
      </c>
      <c r="AT131" s="57">
        <f t="shared" si="522"/>
        <v>3.9800000000000004</v>
      </c>
      <c r="AU131" s="57">
        <f t="shared" si="522"/>
        <v>-4.0199999999999996</v>
      </c>
      <c r="AV131" s="57">
        <f t="shared" si="522"/>
        <v>5.65</v>
      </c>
      <c r="AW131" s="57">
        <f t="shared" si="522"/>
        <v>4.0000000000000036E-2</v>
      </c>
      <c r="AX131" s="34"/>
      <c r="AY131" s="34"/>
      <c r="AZ131" s="34"/>
      <c r="BA131" s="34"/>
      <c r="BB131" s="34"/>
      <c r="BC131" s="34" t="str">
        <f t="shared" si="526"/>
        <v>gr3</v>
      </c>
      <c r="BD131" s="57">
        <f t="shared" si="523"/>
        <v>6.9644929916646605</v>
      </c>
      <c r="BE131" s="57">
        <f t="shared" si="523"/>
        <v>-5.5559493117013163</v>
      </c>
      <c r="BF131" s="57" t="e">
        <f t="shared" si="523"/>
        <v>#VALUE!</v>
      </c>
      <c r="BG131" s="57">
        <f t="shared" si="523"/>
        <v>3.2047929857512356</v>
      </c>
      <c r="BH131" s="57">
        <f t="shared" si="523"/>
        <v>5.4240323386556479</v>
      </c>
      <c r="BI131" s="57">
        <f t="shared" si="523"/>
        <v>4.5377771240680786</v>
      </c>
      <c r="BJ131" s="57">
        <f t="shared" si="523"/>
        <v>-3.4375815938437739</v>
      </c>
      <c r="BK131" s="57">
        <f t="shared" si="523"/>
        <v>6.0700036848273484</v>
      </c>
      <c r="BL131" s="57">
        <f t="shared" si="527"/>
        <v>0.40244576967319912</v>
      </c>
      <c r="BM131" s="34"/>
      <c r="BN131" s="58"/>
      <c r="BO131" s="61" t="s">
        <v>5</v>
      </c>
      <c r="BP131" s="61">
        <v>-1.619057339552749</v>
      </c>
      <c r="BQ131" s="61">
        <v>-6.8260885175741768</v>
      </c>
      <c r="BR131" s="61" t="s">
        <v>18</v>
      </c>
      <c r="BS131" s="61">
        <v>-8.8726145984759714</v>
      </c>
      <c r="BT131" s="61">
        <v>-7.5535137601689639</v>
      </c>
      <c r="BU131" s="61">
        <v>-8.5517707240097209</v>
      </c>
      <c r="BV131" s="61" t="s">
        <v>18</v>
      </c>
      <c r="BW131" s="61">
        <v>3.7314182309476172</v>
      </c>
      <c r="BX131" s="61">
        <v>-2.4073698159432944</v>
      </c>
      <c r="BY131" s="58"/>
    </row>
    <row r="132" spans="39:77" x14ac:dyDescent="0.25">
      <c r="AM132" s="34"/>
      <c r="AN132" s="34" t="str">
        <f t="shared" si="524"/>
        <v>gr4</v>
      </c>
      <c r="AO132" s="57">
        <f t="shared" si="525"/>
        <v>2.88</v>
      </c>
      <c r="AP132" s="57">
        <f t="shared" si="522"/>
        <v>-9.120000000000001</v>
      </c>
      <c r="AQ132" s="57">
        <f t="shared" si="522"/>
        <v>-7.1199999999999992</v>
      </c>
      <c r="AR132" s="57">
        <f t="shared" si="522"/>
        <v>-2.76</v>
      </c>
      <c r="AS132" s="57">
        <f t="shared" si="522"/>
        <v>-0.88999999999999879</v>
      </c>
      <c r="AT132" s="57">
        <f t="shared" si="522"/>
        <v>-2.0999999999999996</v>
      </c>
      <c r="AU132" s="57">
        <f t="shared" si="522"/>
        <v>-0.12999999999999901</v>
      </c>
      <c r="AV132" s="57">
        <f t="shared" si="522"/>
        <v>-3.1999999999999993</v>
      </c>
      <c r="AW132" s="57">
        <f t="shared" si="522"/>
        <v>-0.36999999999999922</v>
      </c>
      <c r="AX132" s="34"/>
      <c r="AY132" s="34"/>
      <c r="AZ132" s="34"/>
      <c r="BA132" s="34"/>
      <c r="BB132" s="34"/>
      <c r="BC132" s="34" t="str">
        <f t="shared" si="526"/>
        <v>gr4</v>
      </c>
      <c r="BD132" s="57">
        <f t="shared" si="523"/>
        <v>2.3022322877777364</v>
      </c>
      <c r="BE132" s="57">
        <f t="shared" si="523"/>
        <v>-8.1517843153323675</v>
      </c>
      <c r="BF132" s="57" t="e">
        <f t="shared" si="523"/>
        <v>#VALUE!</v>
      </c>
      <c r="BG132" s="57">
        <f t="shared" si="523"/>
        <v>-2.4580871186186011</v>
      </c>
      <c r="BH132" s="57">
        <f t="shared" si="523"/>
        <v>-0.65273836481644398</v>
      </c>
      <c r="BI132" s="57">
        <f t="shared" si="523"/>
        <v>9.9860174074702908</v>
      </c>
      <c r="BJ132" s="57">
        <f t="shared" si="523"/>
        <v>0.2032267456455874</v>
      </c>
      <c r="BK132" s="57">
        <f t="shared" si="523"/>
        <v>-2.7523525602347396</v>
      </c>
      <c r="BL132" s="57">
        <f t="shared" si="527"/>
        <v>-9.7471185535371596E-3</v>
      </c>
      <c r="BM132" s="34"/>
      <c r="BN132" s="58"/>
      <c r="BO132" s="61" t="s">
        <v>147</v>
      </c>
      <c r="BP132" s="61">
        <v>-1.8248263713579596</v>
      </c>
      <c r="BQ132" s="61">
        <v>-7.2770860096329031</v>
      </c>
      <c r="BR132" s="61" t="s">
        <v>18</v>
      </c>
      <c r="BS132" s="61">
        <v>-8.9116614731912271</v>
      </c>
      <c r="BT132" s="61">
        <v>-8.1912949884832429</v>
      </c>
      <c r="BU132" s="61">
        <v>-8.6875335366235884</v>
      </c>
      <c r="BV132" s="61" t="s">
        <v>18</v>
      </c>
      <c r="BW132" s="61">
        <v>3.9768883654696778</v>
      </c>
      <c r="BX132" s="61">
        <v>-2.5999337958523943</v>
      </c>
      <c r="BY132" s="58"/>
    </row>
    <row r="133" spans="39:77" x14ac:dyDescent="0.25">
      <c r="AM133" s="34"/>
      <c r="AN133" s="34" t="str">
        <f t="shared" si="524"/>
        <v>gr5</v>
      </c>
      <c r="AO133" s="57">
        <f t="shared" si="525"/>
        <v>4.88</v>
      </c>
      <c r="AP133" s="57">
        <f t="shared" si="522"/>
        <v>-0.11999999999999922</v>
      </c>
      <c r="AQ133" s="57">
        <f t="shared" si="522"/>
        <v>0.37999999999999989</v>
      </c>
      <c r="AR133" s="57">
        <f t="shared" si="522"/>
        <v>3.9300000000000006</v>
      </c>
      <c r="AS133" s="57">
        <f t="shared" si="522"/>
        <v>6.62</v>
      </c>
      <c r="AT133" s="57">
        <f t="shared" si="522"/>
        <v>5.37</v>
      </c>
      <c r="AU133" s="57">
        <f t="shared" si="522"/>
        <v>-0.19999999999999929</v>
      </c>
      <c r="AV133" s="57">
        <f t="shared" si="522"/>
        <v>5.58</v>
      </c>
      <c r="AW133" s="57">
        <f t="shared" si="522"/>
        <v>-3.24</v>
      </c>
      <c r="AX133" s="34"/>
      <c r="AY133" s="34"/>
      <c r="AZ133" s="34"/>
      <c r="BA133" s="34"/>
      <c r="BB133" s="34"/>
      <c r="BC133" s="34" t="str">
        <f t="shared" si="526"/>
        <v>gr5</v>
      </c>
      <c r="BD133" s="57">
        <f t="shared" si="523"/>
        <v>4.9118190452793069</v>
      </c>
      <c r="BE133" s="57">
        <f t="shared" si="523"/>
        <v>-0.47006682186938065</v>
      </c>
      <c r="BF133" s="57" t="e">
        <f t="shared" si="523"/>
        <v>#VALUE!</v>
      </c>
      <c r="BG133" s="57">
        <f t="shared" si="523"/>
        <v>4.6936867832752176</v>
      </c>
      <c r="BH133" s="57">
        <f t="shared" si="523"/>
        <v>11.502253774913505</v>
      </c>
      <c r="BI133" s="57">
        <f t="shared" si="523"/>
        <v>6.0442269516387794</v>
      </c>
      <c r="BJ133" s="57">
        <f t="shared" si="523"/>
        <v>0.64189511998248605</v>
      </c>
      <c r="BK133" s="57">
        <f t="shared" si="523"/>
        <v>6.0353798055619325</v>
      </c>
      <c r="BL133" s="57">
        <f t="shared" si="527"/>
        <v>-2.3466846562705177</v>
      </c>
      <c r="BM133" s="34"/>
      <c r="BN133" s="58"/>
      <c r="BO133" s="61" t="s">
        <v>148</v>
      </c>
      <c r="BP133" s="61">
        <v>-1.4099148565214799</v>
      </c>
      <c r="BQ133" s="61">
        <v>-6.85892810862277</v>
      </c>
      <c r="BR133" s="61" t="s">
        <v>18</v>
      </c>
      <c r="BS133" s="61">
        <v>-8.687354288530388</v>
      </c>
      <c r="BT133" s="61">
        <v>-6.5992589324204545</v>
      </c>
      <c r="BU133" s="61">
        <v>-8.421631843606848</v>
      </c>
      <c r="BV133" s="61" t="s">
        <v>18</v>
      </c>
      <c r="BW133" s="61">
        <v>3.6803589819013731</v>
      </c>
      <c r="BX133" s="61">
        <v>-2.3650160325236578</v>
      </c>
      <c r="BY133" s="58"/>
    </row>
    <row r="134" spans="39:77" x14ac:dyDescent="0.25">
      <c r="AM134" s="34"/>
      <c r="AN134" s="34" t="str">
        <f t="shared" si="524"/>
        <v>gr6</v>
      </c>
      <c r="AO134" s="57">
        <f t="shared" si="525"/>
        <v>0.37999999999999989</v>
      </c>
      <c r="AP134" s="57">
        <f t="shared" si="522"/>
        <v>-5.1199999999999992</v>
      </c>
      <c r="AQ134" s="57">
        <f t="shared" si="522"/>
        <v>-11.120000000000001</v>
      </c>
      <c r="AR134" s="57">
        <f t="shared" si="522"/>
        <v>-7.1999999999999993</v>
      </c>
      <c r="AS134" s="57">
        <f t="shared" si="522"/>
        <v>-4.8199999999999985</v>
      </c>
      <c r="AT134" s="57">
        <f t="shared" si="522"/>
        <v>-6.7199999999999989</v>
      </c>
      <c r="AU134" s="57">
        <f t="shared" si="522"/>
        <v>-0.23999999999999844</v>
      </c>
      <c r="AV134" s="57">
        <f t="shared" si="522"/>
        <v>5.84</v>
      </c>
      <c r="AW134" s="57">
        <f t="shared" si="522"/>
        <v>-0.31999999999999851</v>
      </c>
      <c r="AX134" s="34"/>
      <c r="AY134" s="34"/>
      <c r="AZ134" s="34"/>
      <c r="BA134" s="34"/>
      <c r="BB134" s="34"/>
      <c r="BC134" s="34" t="str">
        <f t="shared" si="526"/>
        <v>gr6</v>
      </c>
      <c r="BD134" s="57">
        <f t="shared" si="523"/>
        <v>0.70357261194543441</v>
      </c>
      <c r="BE134" s="57">
        <f t="shared" si="523"/>
        <v>-4.5034585660759934</v>
      </c>
      <c r="BF134" s="57" t="e">
        <f t="shared" si="523"/>
        <v>#VALUE!</v>
      </c>
      <c r="BG134" s="57">
        <f t="shared" si="523"/>
        <v>-6.549984646977788</v>
      </c>
      <c r="BH134" s="57">
        <f t="shared" si="523"/>
        <v>-5.2308838086707805</v>
      </c>
      <c r="BI134" s="57">
        <f t="shared" si="523"/>
        <v>-6.2291407725115375</v>
      </c>
      <c r="BJ134" s="57" t="e">
        <f t="shared" si="523"/>
        <v>#VALUE!</v>
      </c>
      <c r="BK134" s="57">
        <f t="shared" si="523"/>
        <v>6.0540481824458006</v>
      </c>
      <c r="BL134" s="57">
        <f t="shared" si="527"/>
        <v>-8.4739864445110946E-2</v>
      </c>
      <c r="BM134" s="34"/>
      <c r="BN134" s="58"/>
      <c r="BO134" s="61" t="s">
        <v>149</v>
      </c>
      <c r="BP134" s="61">
        <v>-1.6684568488273213</v>
      </c>
      <c r="BQ134" s="61">
        <v>-6.2884394375872414</v>
      </c>
      <c r="BR134" s="61" t="s">
        <v>18</v>
      </c>
      <c r="BS134" s="61">
        <v>-8.9976168042193496</v>
      </c>
      <c r="BT134" s="61">
        <v>-7.9103082201247359</v>
      </c>
      <c r="BU134" s="61">
        <v>-8.5594923900311652</v>
      </c>
      <c r="BV134" s="61" t="s">
        <v>18</v>
      </c>
      <c r="BW134" s="61">
        <v>3.5204076664896715</v>
      </c>
      <c r="BX134" s="61">
        <v>-2.2195993359999835</v>
      </c>
      <c r="BY134" s="58"/>
    </row>
    <row r="135" spans="39:77" x14ac:dyDescent="0.25">
      <c r="AM135" s="34"/>
      <c r="AN135" s="34"/>
      <c r="AO135" s="34"/>
      <c r="AP135" s="34"/>
      <c r="AQ135" s="34"/>
      <c r="AR135" s="34"/>
      <c r="AS135" s="34"/>
      <c r="AT135" s="34"/>
      <c r="AU135" s="34"/>
      <c r="AV135" s="34"/>
      <c r="AW135" s="34"/>
      <c r="AX135" s="34"/>
      <c r="AY135" s="34"/>
      <c r="AZ135" s="34"/>
      <c r="BA135" s="34"/>
      <c r="BB135" s="34"/>
      <c r="BC135" s="34"/>
      <c r="BD135" s="34"/>
      <c r="BE135" s="34"/>
      <c r="BF135" s="34"/>
      <c r="BG135" s="34"/>
      <c r="BH135" s="34"/>
      <c r="BI135" s="34"/>
      <c r="BJ135" s="34"/>
      <c r="BK135" s="34"/>
      <c r="BL135" s="34"/>
      <c r="BM135" s="34"/>
      <c r="BN135" s="58"/>
      <c r="BO135" s="58">
        <v>45751.638449074075</v>
      </c>
      <c r="BP135" s="58"/>
      <c r="BQ135" s="58"/>
      <c r="BR135" s="58"/>
      <c r="BS135" s="58"/>
      <c r="BT135" s="58"/>
      <c r="BU135" s="58"/>
      <c r="BV135" s="58"/>
      <c r="BW135" s="58"/>
      <c r="BX135" s="58"/>
      <c r="BY135" s="58"/>
    </row>
    <row r="136" spans="39:77" ht="23.25" x14ac:dyDescent="0.35">
      <c r="AM136" s="34"/>
      <c r="AN136" s="34"/>
      <c r="AO136" s="34"/>
      <c r="AP136" s="34"/>
      <c r="AQ136" s="34"/>
      <c r="AR136" s="34"/>
      <c r="AS136" s="34"/>
      <c r="AT136" s="34"/>
      <c r="AU136" s="34"/>
      <c r="AV136" s="34"/>
      <c r="AW136" s="34"/>
      <c r="AX136" s="34"/>
      <c r="AY136" s="34"/>
      <c r="AZ136" s="34"/>
      <c r="BA136" s="34"/>
      <c r="BB136" s="34"/>
      <c r="BC136" s="35" t="s">
        <v>155</v>
      </c>
      <c r="BD136" s="34"/>
      <c r="BE136" s="34"/>
      <c r="BF136" s="34"/>
      <c r="BG136" s="34"/>
      <c r="BH136" s="34"/>
      <c r="BI136" s="34"/>
      <c r="BJ136" s="34"/>
      <c r="BK136" s="34"/>
      <c r="BL136" s="34"/>
      <c r="BM136" s="34"/>
      <c r="BN136" s="58"/>
      <c r="BO136" s="58" t="s">
        <v>153</v>
      </c>
      <c r="BP136" s="58">
        <v>12.571985048255318</v>
      </c>
      <c r="BQ136" s="58">
        <v>7.0539715969260675</v>
      </c>
      <c r="BR136" s="58">
        <v>-1.2476973587099154</v>
      </c>
      <c r="BS136" s="58">
        <v>35.097758794272593</v>
      </c>
      <c r="BT136" s="58">
        <v>9.5756246315058586</v>
      </c>
      <c r="BU136" s="58">
        <v>16.776302060645126</v>
      </c>
      <c r="BV136" s="58">
        <v>2.7271234225076082</v>
      </c>
      <c r="BW136" s="58">
        <v>7.7654806099174287</v>
      </c>
      <c r="BX136" s="58">
        <v>5.6743014699677152</v>
      </c>
      <c r="BY136" s="58"/>
    </row>
    <row r="137" spans="39:77" x14ac:dyDescent="0.25">
      <c r="AM137" s="34"/>
      <c r="AN137" s="34"/>
      <c r="AO137" s="34"/>
      <c r="AP137" s="34"/>
      <c r="AQ137" s="34"/>
      <c r="AR137" s="34"/>
      <c r="AS137" s="34"/>
      <c r="AT137" s="34"/>
      <c r="AU137" s="34"/>
      <c r="AV137" s="34"/>
      <c r="AW137" s="34"/>
      <c r="AX137" s="34"/>
      <c r="AY137" s="34"/>
      <c r="AZ137" s="34"/>
      <c r="BA137" s="34"/>
      <c r="BB137" s="34"/>
      <c r="BC137" s="34"/>
      <c r="BD137" s="34" t="str">
        <f t="shared" ref="BD137:BL137" si="528">BD128</f>
        <v>g1</v>
      </c>
      <c r="BE137" s="34" t="str">
        <f t="shared" si="528"/>
        <v>g2</v>
      </c>
      <c r="BF137" s="34" t="str">
        <f t="shared" si="528"/>
        <v>g3</v>
      </c>
      <c r="BG137" s="34" t="str">
        <f t="shared" si="528"/>
        <v>g4</v>
      </c>
      <c r="BH137" s="34" t="str">
        <f t="shared" si="528"/>
        <v>g5</v>
      </c>
      <c r="BI137" s="34" t="str">
        <f t="shared" si="528"/>
        <v>g6</v>
      </c>
      <c r="BJ137" s="34" t="str">
        <f t="shared" si="528"/>
        <v>g7</v>
      </c>
      <c r="BK137" s="34" t="str">
        <f t="shared" si="528"/>
        <v>g8</v>
      </c>
      <c r="BL137" s="34" t="str">
        <f t="shared" si="528"/>
        <v>g9</v>
      </c>
      <c r="BM137" s="34"/>
      <c r="BN137" s="58"/>
      <c r="BO137" s="58" t="s">
        <v>154</v>
      </c>
      <c r="BP137" s="58"/>
      <c r="BQ137" s="58"/>
      <c r="BR137" s="58"/>
      <c r="BS137" s="58"/>
      <c r="BT137" s="58"/>
      <c r="BU137" s="58"/>
      <c r="BV137" s="58"/>
      <c r="BW137" s="58"/>
      <c r="BX137" s="58"/>
      <c r="BY137" s="58"/>
    </row>
    <row r="138" spans="39:77" x14ac:dyDescent="0.25">
      <c r="AM138" s="34"/>
      <c r="AN138" s="34"/>
      <c r="AO138" s="34"/>
      <c r="AP138" s="34"/>
      <c r="AQ138" s="34"/>
      <c r="AR138" s="34"/>
      <c r="AS138" s="34"/>
      <c r="AT138" s="34"/>
      <c r="AU138" s="34"/>
      <c r="AV138" s="34"/>
      <c r="AW138" s="34"/>
      <c r="AX138" s="34"/>
      <c r="AY138" s="34"/>
      <c r="AZ138" s="34"/>
      <c r="BA138" s="34"/>
      <c r="BB138" s="34"/>
      <c r="BC138" s="34" t="str">
        <f t="shared" ref="BC138:BC143" si="529">BC129</f>
        <v>gr1</v>
      </c>
      <c r="BD138" s="62">
        <f>BP138</f>
        <v>3.6298613056291931</v>
      </c>
      <c r="BE138" s="62">
        <f t="shared" ref="BE138:BL138" si="530">BQ138</f>
        <v>2.7416564841605435</v>
      </c>
      <c r="BF138" s="62">
        <f t="shared" si="530"/>
        <v>3.1618724245743888</v>
      </c>
      <c r="BG138" s="62">
        <f t="shared" si="530"/>
        <v>1.7864152855739732</v>
      </c>
      <c r="BH138" s="62">
        <f t="shared" si="530"/>
        <v>1.760309169443135</v>
      </c>
      <c r="BI138" s="62">
        <f t="shared" si="530"/>
        <v>3.6174172361017041</v>
      </c>
      <c r="BJ138" s="62">
        <f t="shared" si="530"/>
        <v>1.7566667175216726</v>
      </c>
      <c r="BK138" s="62">
        <f t="shared" si="530"/>
        <v>1.5524605633193329</v>
      </c>
      <c r="BL138" s="62">
        <f t="shared" si="530"/>
        <v>1.7226379170511645</v>
      </c>
      <c r="BM138" s="34"/>
      <c r="BN138" s="58"/>
      <c r="BO138" s="58" t="s">
        <v>0</v>
      </c>
      <c r="BP138" s="58">
        <v>3.6298613056291931</v>
      </c>
      <c r="BQ138" s="58">
        <v>2.7416564841605435</v>
      </c>
      <c r="BR138" s="58">
        <v>3.1618724245743888</v>
      </c>
      <c r="BS138" s="58">
        <v>1.7864152855739732</v>
      </c>
      <c r="BT138" s="58">
        <v>1.760309169443135</v>
      </c>
      <c r="BU138" s="58">
        <v>3.6174172361017041</v>
      </c>
      <c r="BV138" s="58">
        <v>1.7566667175216726</v>
      </c>
      <c r="BW138" s="58">
        <v>1.5524605633193329</v>
      </c>
      <c r="BX138" s="58">
        <v>1.7226379170511645</v>
      </c>
      <c r="BY138" s="58"/>
    </row>
    <row r="139" spans="39:77" x14ac:dyDescent="0.25">
      <c r="AM139" s="34"/>
      <c r="AN139" s="34"/>
      <c r="AO139" s="34"/>
      <c r="AP139" s="34"/>
      <c r="AQ139" s="34"/>
      <c r="AR139" s="34"/>
      <c r="AS139" s="34"/>
      <c r="AT139" s="34"/>
      <c r="AU139" s="34"/>
      <c r="AV139" s="34"/>
      <c r="AW139" s="34"/>
      <c r="AX139" s="34"/>
      <c r="AY139" s="34"/>
      <c r="AZ139" s="34"/>
      <c r="BA139" s="34"/>
      <c r="BB139" s="34"/>
      <c r="BC139" s="34" t="str">
        <f t="shared" si="529"/>
        <v>gr2</v>
      </c>
      <c r="BD139" s="62">
        <f>BP142</f>
        <v>3.3038680038452419</v>
      </c>
      <c r="BE139" s="62">
        <f t="shared" ref="BE139:BL139" si="531">BQ142</f>
        <v>1.847941517209605</v>
      </c>
      <c r="BF139" s="62" t="str">
        <f t="shared" si="531"/>
        <v>nd</v>
      </c>
      <c r="BG139" s="62">
        <f t="shared" si="531"/>
        <v>5.902629184513132</v>
      </c>
      <c r="BH139" s="62">
        <f t="shared" si="531"/>
        <v>1.6449745944875063</v>
      </c>
      <c r="BI139" s="62">
        <f t="shared" si="531"/>
        <v>1.5581080829547003</v>
      </c>
      <c r="BJ139" s="62">
        <f t="shared" si="531"/>
        <v>1.708468279712406</v>
      </c>
      <c r="BK139" s="62">
        <f t="shared" si="531"/>
        <v>1.6698784550842936</v>
      </c>
      <c r="BL139" s="62">
        <f t="shared" si="531"/>
        <v>1.5618275021694854</v>
      </c>
      <c r="BM139" s="34"/>
      <c r="BN139" s="58"/>
      <c r="BO139" s="58" t="s">
        <v>132</v>
      </c>
      <c r="BP139" s="58">
        <v>1.3886359590132002</v>
      </c>
      <c r="BQ139" s="58">
        <v>1.2274534398499723</v>
      </c>
      <c r="BR139" s="58">
        <v>1.8671112705335369</v>
      </c>
      <c r="BS139" s="58">
        <v>1.1513663079015652</v>
      </c>
      <c r="BT139" s="58">
        <v>1.16937767472861</v>
      </c>
      <c r="BU139" s="58">
        <v>6.1219433849586498</v>
      </c>
      <c r="BV139" s="58">
        <v>1.3456132211079872</v>
      </c>
      <c r="BW139" s="58" t="s">
        <v>18</v>
      </c>
      <c r="BX139" s="58">
        <v>1.4119809689014209</v>
      </c>
      <c r="BY139" s="58"/>
    </row>
    <row r="140" spans="39:77" x14ac:dyDescent="0.25">
      <c r="AM140" s="34"/>
      <c r="AN140" s="34"/>
      <c r="AO140" s="34"/>
      <c r="AP140" s="34"/>
      <c r="AQ140" s="34"/>
      <c r="AR140" s="34"/>
      <c r="AS140" s="34"/>
      <c r="AT140" s="34"/>
      <c r="AU140" s="34"/>
      <c r="AV140" s="34"/>
      <c r="AW140" s="34"/>
      <c r="AX140" s="34"/>
      <c r="AY140" s="34"/>
      <c r="AZ140" s="34"/>
      <c r="BA140" s="34"/>
      <c r="BB140" s="34"/>
      <c r="BC140" s="34" t="str">
        <f t="shared" si="529"/>
        <v>gr3</v>
      </c>
      <c r="BD140" s="62">
        <f>BP146</f>
        <v>3.0835963567666442</v>
      </c>
      <c r="BE140" s="62">
        <f t="shared" ref="BE140:BL140" si="532">BQ146</f>
        <v>2.4594818400062026</v>
      </c>
      <c r="BF140" s="62" t="str">
        <f t="shared" si="532"/>
        <v>nd</v>
      </c>
      <c r="BG140" s="62">
        <f t="shared" si="532"/>
        <v>1.6235053272944187</v>
      </c>
      <c r="BH140" s="62">
        <f t="shared" si="532"/>
        <v>1.9564288622566657</v>
      </c>
      <c r="BI140" s="62">
        <f t="shared" si="532"/>
        <v>1.7264502193442475</v>
      </c>
      <c r="BJ140" s="62">
        <f t="shared" si="532"/>
        <v>1.6151958329718934</v>
      </c>
      <c r="BK140" s="62">
        <f t="shared" si="532"/>
        <v>1.6493424468445177</v>
      </c>
      <c r="BL140" s="62">
        <f t="shared" si="532"/>
        <v>1.6690652026437369</v>
      </c>
      <c r="BM140" s="34"/>
      <c r="BN140" s="58"/>
      <c r="BO140" s="58" t="s">
        <v>133</v>
      </c>
      <c r="BP140" s="58">
        <v>1.9582050082187403</v>
      </c>
      <c r="BQ140" s="58">
        <v>0.91370671241581447</v>
      </c>
      <c r="BR140" s="58">
        <v>0.9000233959705265</v>
      </c>
      <c r="BS140" s="58">
        <v>1.2832798698166099</v>
      </c>
      <c r="BT140" s="58">
        <v>0.96978819294344165</v>
      </c>
      <c r="BU140" s="58">
        <v>1.5222140224917073</v>
      </c>
      <c r="BV140" s="58">
        <v>0.88287457957509086</v>
      </c>
      <c r="BW140" s="58">
        <v>0.70710678118654757</v>
      </c>
      <c r="BX140" s="58">
        <v>0.88154864921783249</v>
      </c>
      <c r="BY140" s="58"/>
    </row>
    <row r="141" spans="39:77" x14ac:dyDescent="0.25">
      <c r="AM141" s="34"/>
      <c r="AN141" s="34"/>
      <c r="AO141" s="34"/>
      <c r="AP141" s="34"/>
      <c r="AQ141" s="34"/>
      <c r="AR141" s="34"/>
      <c r="AS141" s="34"/>
      <c r="AT141" s="34"/>
      <c r="AU141" s="34"/>
      <c r="AV141" s="34"/>
      <c r="AW141" s="34"/>
      <c r="AX141" s="34"/>
      <c r="AY141" s="34"/>
      <c r="AZ141" s="34"/>
      <c r="BA141" s="34"/>
      <c r="BB141" s="34"/>
      <c r="BC141" s="34" t="str">
        <f t="shared" si="529"/>
        <v>gr4</v>
      </c>
      <c r="BD141" s="62">
        <f>BP150</f>
        <v>2.0196351811485527</v>
      </c>
      <c r="BE141" s="62">
        <f t="shared" ref="BE141:BL141" si="533">BQ150</f>
        <v>2.8495747049744913</v>
      </c>
      <c r="BF141" s="62" t="str">
        <f t="shared" si="533"/>
        <v>nd</v>
      </c>
      <c r="BG141" s="62">
        <f t="shared" si="533"/>
        <v>1.8918867975182265</v>
      </c>
      <c r="BH141" s="62">
        <f t="shared" si="533"/>
        <v>1.5242308760778958</v>
      </c>
      <c r="BI141" s="62">
        <f t="shared" si="533"/>
        <v>9.1581099447867942</v>
      </c>
      <c r="BJ141" s="62">
        <f t="shared" si="533"/>
        <v>1.5896943520539215</v>
      </c>
      <c r="BK141" s="62">
        <f t="shared" si="533"/>
        <v>1.5217137963246852</v>
      </c>
      <c r="BL141" s="62">
        <f t="shared" si="533"/>
        <v>1.6114272441530604</v>
      </c>
      <c r="BM141" s="34"/>
      <c r="BN141" s="58"/>
      <c r="BO141" s="58" t="s">
        <v>134</v>
      </c>
      <c r="BP141" s="58">
        <v>1.0869585969217799</v>
      </c>
      <c r="BQ141" s="58">
        <v>0.86965661831833541</v>
      </c>
      <c r="BR141" s="58">
        <v>4.0805441542742376</v>
      </c>
      <c r="BS141" s="58">
        <v>0.81522141000221726</v>
      </c>
      <c r="BT141" s="58">
        <v>0.91597771815321127</v>
      </c>
      <c r="BU141" s="58">
        <v>0.87887298647401269</v>
      </c>
      <c r="BV141" s="58">
        <v>0.81187689188724643</v>
      </c>
      <c r="BW141" s="58" t="s">
        <v>18</v>
      </c>
      <c r="BX141" s="58">
        <v>0.81090631817109338</v>
      </c>
      <c r="BY141" s="58"/>
    </row>
    <row r="142" spans="39:77" x14ac:dyDescent="0.25">
      <c r="AM142" s="34"/>
      <c r="AN142" s="34"/>
      <c r="AO142" s="34"/>
      <c r="AP142" s="34"/>
      <c r="AQ142" s="34"/>
      <c r="AR142" s="34"/>
      <c r="AS142" s="34"/>
      <c r="AT142" s="34"/>
      <c r="AU142" s="34"/>
      <c r="AV142" s="34"/>
      <c r="AW142" s="34"/>
      <c r="AX142" s="34"/>
      <c r="AY142" s="34"/>
      <c r="AZ142" s="34"/>
      <c r="BA142" s="34"/>
      <c r="BB142" s="34"/>
      <c r="BC142" s="34" t="str">
        <f t="shared" si="529"/>
        <v>gr5</v>
      </c>
      <c r="BD142" s="62">
        <f>BP154</f>
        <v>2.4589890842942976</v>
      </c>
      <c r="BE142" s="62">
        <f t="shared" ref="BE142:BL142" si="534">BQ154</f>
        <v>2.4610709486546241</v>
      </c>
      <c r="BF142" s="62" t="str">
        <f t="shared" si="534"/>
        <v>nd</v>
      </c>
      <c r="BG142" s="62">
        <f t="shared" si="534"/>
        <v>1.5889111913656897</v>
      </c>
      <c r="BH142" s="62">
        <f t="shared" si="534"/>
        <v>11.248518158119772</v>
      </c>
      <c r="BI142" s="62">
        <f t="shared" si="534"/>
        <v>1.5857582869191507</v>
      </c>
      <c r="BJ142" s="62">
        <f t="shared" si="534"/>
        <v>1.5900882107484058</v>
      </c>
      <c r="BK142" s="62">
        <f t="shared" si="534"/>
        <v>1.5948839630830267</v>
      </c>
      <c r="BL142" s="62">
        <f t="shared" si="534"/>
        <v>1.5889536870290846</v>
      </c>
      <c r="BM142" s="34"/>
      <c r="BN142" s="58"/>
      <c r="BO142" s="58" t="s">
        <v>1</v>
      </c>
      <c r="BP142" s="58">
        <v>3.3038680038452419</v>
      </c>
      <c r="BQ142" s="58">
        <v>1.847941517209605</v>
      </c>
      <c r="BR142" s="58" t="s">
        <v>18</v>
      </c>
      <c r="BS142" s="58">
        <v>5.902629184513132</v>
      </c>
      <c r="BT142" s="58">
        <v>1.6449745944875063</v>
      </c>
      <c r="BU142" s="58">
        <v>1.5581080829547003</v>
      </c>
      <c r="BV142" s="58">
        <v>1.708468279712406</v>
      </c>
      <c r="BW142" s="58">
        <v>1.6698784550842936</v>
      </c>
      <c r="BX142" s="58">
        <v>1.5618275021694854</v>
      </c>
      <c r="BY142" s="58"/>
    </row>
    <row r="143" spans="39:77" x14ac:dyDescent="0.25">
      <c r="AM143" s="34"/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/>
      <c r="BB143" s="34"/>
      <c r="BC143" s="34" t="str">
        <f t="shared" si="529"/>
        <v>gr6</v>
      </c>
      <c r="BD143" s="62">
        <f>BP158</f>
        <v>2.374985797307227</v>
      </c>
      <c r="BE143" s="62">
        <f t="shared" ref="BE143:BL143" si="535">BQ158</f>
        <v>2.3669111199608617</v>
      </c>
      <c r="BF143" s="62" t="str">
        <f t="shared" si="535"/>
        <v>nd</v>
      </c>
      <c r="BG143" s="62">
        <f t="shared" si="535"/>
        <v>2.0451251345400769</v>
      </c>
      <c r="BH143" s="62">
        <f t="shared" si="535"/>
        <v>4.3966889875504203</v>
      </c>
      <c r="BI143" s="62">
        <f t="shared" si="535"/>
        <v>1.9717591894140363</v>
      </c>
      <c r="BJ143" s="62" t="str">
        <f t="shared" si="535"/>
        <v>nd</v>
      </c>
      <c r="BK143" s="62">
        <f t="shared" si="535"/>
        <v>2.1311786214939197</v>
      </c>
      <c r="BL143" s="62">
        <f t="shared" si="535"/>
        <v>2.1252762447143421</v>
      </c>
      <c r="BM143" s="34"/>
      <c r="BN143" s="58"/>
      <c r="BO143" s="58" t="s">
        <v>135</v>
      </c>
      <c r="BP143" s="58">
        <v>1.9316388083583849</v>
      </c>
      <c r="BQ143" s="58">
        <v>0.8822197422631628</v>
      </c>
      <c r="BR143" s="58" t="s">
        <v>18</v>
      </c>
      <c r="BS143" s="58">
        <v>1.2010695781503737</v>
      </c>
      <c r="BT143" s="58">
        <v>0.99326943937980272</v>
      </c>
      <c r="BU143" s="58">
        <v>0.95619922975641536</v>
      </c>
      <c r="BV143" s="58">
        <v>0.91801555733595219</v>
      </c>
      <c r="BW143" s="58">
        <v>0.89143052594877847</v>
      </c>
      <c r="BX143" s="58">
        <v>0.9150543207210371</v>
      </c>
      <c r="BY143" s="58"/>
    </row>
    <row r="144" spans="39:77" x14ac:dyDescent="0.25">
      <c r="AM144" s="34"/>
      <c r="AN144" s="34"/>
      <c r="AO144" s="34"/>
      <c r="AP144" s="34"/>
      <c r="AQ144" s="34"/>
      <c r="AR144" s="34"/>
      <c r="AS144" s="34"/>
      <c r="AT144" s="34"/>
      <c r="AU144" s="34"/>
      <c r="AV144" s="34"/>
      <c r="AW144" s="34"/>
      <c r="AX144" s="34"/>
      <c r="AY144" s="34"/>
      <c r="AZ144" s="34"/>
      <c r="BA144" s="34"/>
      <c r="BB144" s="34"/>
      <c r="BC144" s="34"/>
      <c r="BD144" s="34"/>
      <c r="BE144" s="34"/>
      <c r="BF144" s="34"/>
      <c r="BG144" s="34"/>
      <c r="BH144" s="34"/>
      <c r="BI144" s="34"/>
      <c r="BJ144" s="34"/>
      <c r="BK144" s="34"/>
      <c r="BL144" s="34"/>
      <c r="BM144" s="34"/>
      <c r="BN144" s="58"/>
      <c r="BO144" s="58" t="s">
        <v>136</v>
      </c>
      <c r="BP144" s="58">
        <v>0.98215318204688074</v>
      </c>
      <c r="BQ144" s="58">
        <v>0.91974212772869479</v>
      </c>
      <c r="BR144" s="58" t="s">
        <v>18</v>
      </c>
      <c r="BS144" s="58">
        <v>5.4778730931353419</v>
      </c>
      <c r="BT144" s="58">
        <v>1.0072125981396931</v>
      </c>
      <c r="BU144" s="58">
        <v>0.98035082256872796</v>
      </c>
      <c r="BV144" s="58">
        <v>1.3535558324899086</v>
      </c>
      <c r="BW144" s="58">
        <v>0.99506334291309484</v>
      </c>
      <c r="BX144" s="58">
        <v>0.98210720709842347</v>
      </c>
      <c r="BY144" s="58"/>
    </row>
    <row r="145" spans="66:77" x14ac:dyDescent="0.25">
      <c r="BN145" s="58"/>
      <c r="BO145" s="58" t="s">
        <v>137</v>
      </c>
      <c r="BP145" s="58">
        <v>0.95985091214233542</v>
      </c>
      <c r="BQ145" s="58">
        <v>0.95619740071906001</v>
      </c>
      <c r="BR145" s="58" t="s">
        <v>18</v>
      </c>
      <c r="BS145" s="58">
        <v>0.95380226270398694</v>
      </c>
      <c r="BT145" s="58">
        <v>1.0033198684844102</v>
      </c>
      <c r="BU145" s="58">
        <v>0.93808288560511666</v>
      </c>
      <c r="BV145" s="58">
        <v>0.99475246694950381</v>
      </c>
      <c r="BW145" s="58">
        <v>0.92517672621690672</v>
      </c>
      <c r="BX145" s="58">
        <v>0.98653064103825228</v>
      </c>
      <c r="BY145" s="58"/>
    </row>
    <row r="146" spans="66:77" x14ac:dyDescent="0.25">
      <c r="BN146" s="58"/>
      <c r="BO146" s="58" t="s">
        <v>2</v>
      </c>
      <c r="BP146" s="58">
        <v>3.0835963567666442</v>
      </c>
      <c r="BQ146" s="58">
        <v>2.4594818400062026</v>
      </c>
      <c r="BR146" s="58" t="s">
        <v>18</v>
      </c>
      <c r="BS146" s="58">
        <v>1.6235053272944187</v>
      </c>
      <c r="BT146" s="58">
        <v>1.9564288622566657</v>
      </c>
      <c r="BU146" s="58">
        <v>1.7264502193442475</v>
      </c>
      <c r="BV146" s="58">
        <v>1.6151958329718934</v>
      </c>
      <c r="BW146" s="58">
        <v>1.6493424468445177</v>
      </c>
      <c r="BX146" s="58">
        <v>1.6690652026437369</v>
      </c>
      <c r="BY146" s="58"/>
    </row>
    <row r="147" spans="66:77" x14ac:dyDescent="0.25">
      <c r="BN147" s="58"/>
      <c r="BO147" s="58" t="s">
        <v>138</v>
      </c>
      <c r="BP147" s="58">
        <v>1.7004421235002249</v>
      </c>
      <c r="BQ147" s="58">
        <v>1.3105623959605806</v>
      </c>
      <c r="BR147" s="58" t="s">
        <v>18</v>
      </c>
      <c r="BS147" s="58">
        <v>1.2883458965646124</v>
      </c>
      <c r="BT147" s="58">
        <v>1.3076610800083788</v>
      </c>
      <c r="BU147" s="58">
        <v>1.1690545325496668</v>
      </c>
      <c r="BV147" s="58">
        <v>1.1935690895417792</v>
      </c>
      <c r="BW147" s="58">
        <v>1.2110818410116349</v>
      </c>
      <c r="BX147" s="58">
        <v>1.7296757178670852</v>
      </c>
      <c r="BY147" s="58"/>
    </row>
    <row r="148" spans="66:77" x14ac:dyDescent="0.25">
      <c r="BN148" s="58"/>
      <c r="BO148" s="58" t="s">
        <v>139</v>
      </c>
      <c r="BP148" s="58">
        <v>0.91676772608484636</v>
      </c>
      <c r="BQ148" s="58">
        <v>0.9297753294533373</v>
      </c>
      <c r="BR148" s="58" t="s">
        <v>18</v>
      </c>
      <c r="BS148" s="58">
        <v>0.89382985956135119</v>
      </c>
      <c r="BT148" s="58">
        <v>0.91478197590095345</v>
      </c>
      <c r="BU148" s="58">
        <v>0.99961273593368838</v>
      </c>
      <c r="BV148" s="58">
        <v>0.93638727588106674</v>
      </c>
      <c r="BW148" s="58">
        <v>0.90144070624524186</v>
      </c>
      <c r="BX148" s="58">
        <v>0.95348381556580597</v>
      </c>
      <c r="BY148" s="58"/>
    </row>
    <row r="149" spans="66:77" x14ac:dyDescent="0.25">
      <c r="BN149" s="58"/>
      <c r="BO149" s="58" t="s">
        <v>140</v>
      </c>
      <c r="BP149" s="58">
        <v>1.025238857214847</v>
      </c>
      <c r="BQ149" s="58">
        <v>1.0256864879111287</v>
      </c>
      <c r="BR149" s="58" t="s">
        <v>18</v>
      </c>
      <c r="BS149" s="58">
        <v>0.92772301218142128</v>
      </c>
      <c r="BT149" s="58">
        <v>1.6637052285663478</v>
      </c>
      <c r="BU149" s="58">
        <v>0.92837467460498746</v>
      </c>
      <c r="BV149" s="58">
        <v>0.93555535622467123</v>
      </c>
      <c r="BW149" s="58">
        <v>0.86047586076570004</v>
      </c>
      <c r="BX149" s="58">
        <v>0.89992201261743576</v>
      </c>
      <c r="BY149" s="58"/>
    </row>
    <row r="150" spans="66:77" x14ac:dyDescent="0.25">
      <c r="BN150" s="58"/>
      <c r="BO150" s="58" t="s">
        <v>3</v>
      </c>
      <c r="BP150" s="58">
        <v>2.0196351811485527</v>
      </c>
      <c r="BQ150" s="58">
        <v>2.8495747049744913</v>
      </c>
      <c r="BR150" s="58" t="s">
        <v>18</v>
      </c>
      <c r="BS150" s="58">
        <v>1.8918867975182265</v>
      </c>
      <c r="BT150" s="58">
        <v>1.5242308760778958</v>
      </c>
      <c r="BU150" s="58">
        <v>9.1581099447867942</v>
      </c>
      <c r="BV150" s="58">
        <v>1.5896943520539215</v>
      </c>
      <c r="BW150" s="58">
        <v>1.5217137963246852</v>
      </c>
      <c r="BX150" s="58">
        <v>1.6114272441530604</v>
      </c>
      <c r="BY150" s="58"/>
    </row>
    <row r="151" spans="66:77" x14ac:dyDescent="0.25">
      <c r="BN151" s="58"/>
      <c r="BO151" s="58" t="s">
        <v>141</v>
      </c>
      <c r="BP151" s="58">
        <v>0.96753228612207764</v>
      </c>
      <c r="BQ151" s="58">
        <v>1.8709559837473104</v>
      </c>
      <c r="BR151" s="58" t="s">
        <v>18</v>
      </c>
      <c r="BS151" s="58">
        <v>1.012080683411632</v>
      </c>
      <c r="BT151" s="58">
        <v>1.0015344302394933</v>
      </c>
      <c r="BU151" s="58">
        <v>1.9492212794244526</v>
      </c>
      <c r="BV151" s="58">
        <v>0.9403834703705255</v>
      </c>
      <c r="BW151" s="58">
        <v>0.86460925365540131</v>
      </c>
      <c r="BX151" s="58">
        <v>0.86063339000440309</v>
      </c>
      <c r="BY151" s="58"/>
    </row>
    <row r="152" spans="66:77" x14ac:dyDescent="0.25">
      <c r="BN152" s="58"/>
      <c r="BO152" s="58" t="s">
        <v>142</v>
      </c>
      <c r="BP152" s="58">
        <v>0.8755879760796188</v>
      </c>
      <c r="BQ152" s="58">
        <v>0.9602402909671599</v>
      </c>
      <c r="BR152" s="58" t="s">
        <v>18</v>
      </c>
      <c r="BS152" s="58">
        <v>0.94779304368587203</v>
      </c>
      <c r="BT152" s="58">
        <v>0.85155592642635292</v>
      </c>
      <c r="BU152" s="58">
        <v>5.2275838309744689</v>
      </c>
      <c r="BV152" s="58">
        <v>0.87465590347589206</v>
      </c>
      <c r="BW152" s="58">
        <v>0.86601510395550885</v>
      </c>
      <c r="BX152" s="58">
        <v>0.82763712781711241</v>
      </c>
      <c r="BY152" s="58"/>
    </row>
    <row r="153" spans="66:77" x14ac:dyDescent="0.25">
      <c r="BN153" s="58"/>
      <c r="BO153" s="58" t="s">
        <v>143</v>
      </c>
      <c r="BP153" s="58">
        <v>1.1333379939788575</v>
      </c>
      <c r="BQ153" s="58">
        <v>1.0798489981757347</v>
      </c>
      <c r="BR153" s="58" t="s">
        <v>18</v>
      </c>
      <c r="BS153" s="58">
        <v>2.0334038936689312</v>
      </c>
      <c r="BT153" s="58">
        <v>0.98238893694834806</v>
      </c>
      <c r="BU153" s="58">
        <v>5.5423374993522261</v>
      </c>
      <c r="BV153" s="58">
        <v>1.0143206793405282</v>
      </c>
      <c r="BW153" s="58">
        <v>1.0194843482709881</v>
      </c>
      <c r="BX153" s="58">
        <v>1.4543317602376999</v>
      </c>
      <c r="BY153" s="58"/>
    </row>
    <row r="154" spans="66:77" x14ac:dyDescent="0.25">
      <c r="BN154" s="58"/>
      <c r="BO154" s="58" t="s">
        <v>4</v>
      </c>
      <c r="BP154" s="58">
        <v>2.4589890842942976</v>
      </c>
      <c r="BQ154" s="58">
        <v>2.4610709486546241</v>
      </c>
      <c r="BR154" s="58" t="s">
        <v>18</v>
      </c>
      <c r="BS154" s="58">
        <v>1.5889111913656897</v>
      </c>
      <c r="BT154" s="58">
        <v>11.248518158119772</v>
      </c>
      <c r="BU154" s="58">
        <v>1.5857582869191507</v>
      </c>
      <c r="BV154" s="58">
        <v>1.5900882107484058</v>
      </c>
      <c r="BW154" s="58">
        <v>1.5948839630830267</v>
      </c>
      <c r="BX154" s="58">
        <v>1.5889536870290846</v>
      </c>
      <c r="BY154" s="58"/>
    </row>
    <row r="155" spans="66:77" x14ac:dyDescent="0.25">
      <c r="BN155" s="58"/>
      <c r="BO155" s="58" t="s">
        <v>144</v>
      </c>
      <c r="BP155" s="58">
        <v>1.2918155680487564</v>
      </c>
      <c r="BQ155" s="58">
        <v>1.2918155680487564</v>
      </c>
      <c r="BR155" s="58" t="s">
        <v>18</v>
      </c>
      <c r="BS155" s="58">
        <v>1.1180339887498949</v>
      </c>
      <c r="BT155" s="58">
        <v>11.180339887498949</v>
      </c>
      <c r="BU155" s="58">
        <v>1.1180339887498949</v>
      </c>
      <c r="BV155" s="58">
        <v>1.1180339887498949</v>
      </c>
      <c r="BW155" s="58">
        <v>1.1180339887498949</v>
      </c>
      <c r="BX155" s="58">
        <v>1.1180339887498949</v>
      </c>
      <c r="BY155" s="58"/>
    </row>
    <row r="156" spans="66:77" x14ac:dyDescent="0.25">
      <c r="BN156" s="58"/>
      <c r="BO156" s="58" t="s">
        <v>145</v>
      </c>
      <c r="BP156" s="58">
        <v>1.2918155680487549</v>
      </c>
      <c r="BQ156" s="58">
        <v>1.2918155680487549</v>
      </c>
      <c r="BR156" s="58" t="s">
        <v>18</v>
      </c>
      <c r="BS156" s="58" t="s">
        <v>18</v>
      </c>
      <c r="BT156" s="58" t="s">
        <v>18</v>
      </c>
      <c r="BU156" s="58" t="s">
        <v>18</v>
      </c>
      <c r="BV156" s="58" t="s">
        <v>18</v>
      </c>
      <c r="BW156" s="58" t="s">
        <v>18</v>
      </c>
      <c r="BX156" s="58" t="s">
        <v>18</v>
      </c>
      <c r="BY156" s="58"/>
    </row>
    <row r="157" spans="66:77" x14ac:dyDescent="0.25">
      <c r="BN157" s="58"/>
      <c r="BO157" s="58" t="s">
        <v>146</v>
      </c>
      <c r="BP157" s="58" t="s">
        <v>18</v>
      </c>
      <c r="BQ157" s="58" t="s">
        <v>18</v>
      </c>
      <c r="BR157" s="58" t="s">
        <v>18</v>
      </c>
      <c r="BS157" s="58" t="s">
        <v>18</v>
      </c>
      <c r="BT157" s="58" t="s">
        <v>18</v>
      </c>
      <c r="BU157" s="58" t="s">
        <v>18</v>
      </c>
      <c r="BV157" s="58" t="s">
        <v>18</v>
      </c>
      <c r="BW157" s="58" t="s">
        <v>18</v>
      </c>
      <c r="BX157" s="58" t="s">
        <v>18</v>
      </c>
      <c r="BY157" s="58"/>
    </row>
    <row r="158" spans="66:77" x14ac:dyDescent="0.25">
      <c r="BN158" s="58"/>
      <c r="BO158" s="58" t="s">
        <v>5</v>
      </c>
      <c r="BP158" s="58">
        <v>2.374985797307227</v>
      </c>
      <c r="BQ158" s="58">
        <v>2.3669111199608617</v>
      </c>
      <c r="BR158" s="58" t="s">
        <v>18</v>
      </c>
      <c r="BS158" s="58">
        <v>2.0451251345400769</v>
      </c>
      <c r="BT158" s="58">
        <v>4.3966889875504203</v>
      </c>
      <c r="BU158" s="58">
        <v>1.9717591894140363</v>
      </c>
      <c r="BV158" s="58" t="s">
        <v>18</v>
      </c>
      <c r="BW158" s="58">
        <v>2.1311786214939197</v>
      </c>
      <c r="BX158" s="58">
        <v>2.1252762447143421</v>
      </c>
      <c r="BY158" s="58"/>
    </row>
    <row r="159" spans="66:77" x14ac:dyDescent="0.25">
      <c r="BN159" s="58"/>
      <c r="BO159" s="58" t="s">
        <v>147</v>
      </c>
      <c r="BP159" s="58">
        <v>1.7339817232994774</v>
      </c>
      <c r="BQ159" s="58">
        <v>1.2048751093482597</v>
      </c>
      <c r="BR159" s="58" t="s">
        <v>18</v>
      </c>
      <c r="BS159" s="58">
        <v>1.0494036430915803</v>
      </c>
      <c r="BT159" s="58">
        <v>1.7733119536556372</v>
      </c>
      <c r="BU159" s="58">
        <v>1.0647294349650283</v>
      </c>
      <c r="BV159" s="58" t="s">
        <v>18</v>
      </c>
      <c r="BW159" s="58">
        <v>1.0892144037866114</v>
      </c>
      <c r="BX159" s="58">
        <v>1.0194494690968745</v>
      </c>
      <c r="BY159" s="58"/>
    </row>
    <row r="160" spans="66:77" x14ac:dyDescent="0.25">
      <c r="BN160" s="58"/>
      <c r="BO160" s="58" t="s">
        <v>148</v>
      </c>
      <c r="BP160" s="58">
        <v>1.4972192627870011</v>
      </c>
      <c r="BQ160" s="58">
        <v>1.2535505074590261</v>
      </c>
      <c r="BR160" s="58" t="s">
        <v>18</v>
      </c>
      <c r="BS160" s="58">
        <v>1.2883607986773979</v>
      </c>
      <c r="BT160" s="58">
        <v>2.3351000426923321</v>
      </c>
      <c r="BU160" s="58">
        <v>1.0942308710643665</v>
      </c>
      <c r="BV160" s="58" t="s">
        <v>18</v>
      </c>
      <c r="BW160" s="58">
        <v>1.2954754155683403</v>
      </c>
      <c r="BX160" s="58">
        <v>1.2462059964242718</v>
      </c>
      <c r="BY160" s="58"/>
    </row>
    <row r="161" spans="66:77" x14ac:dyDescent="0.25">
      <c r="BN161" s="58"/>
      <c r="BO161" s="58" t="s">
        <v>149</v>
      </c>
      <c r="BP161" s="58">
        <v>1.5120165896206907</v>
      </c>
      <c r="BQ161" s="58">
        <v>1.4108667904289396</v>
      </c>
      <c r="BR161" s="58" t="s">
        <v>18</v>
      </c>
      <c r="BS161" s="58">
        <v>1.2572770076584396</v>
      </c>
      <c r="BT161" s="58">
        <v>6.4603992145406774</v>
      </c>
      <c r="BU161" s="58">
        <v>1.1898340027445657</v>
      </c>
      <c r="BV161" s="58" t="s">
        <v>18</v>
      </c>
      <c r="BW161" s="58">
        <v>1.4494623828015001</v>
      </c>
      <c r="BX161" s="58">
        <v>1.4158021366257019</v>
      </c>
      <c r="BY161" s="58"/>
    </row>
    <row r="162" spans="66:77" x14ac:dyDescent="0.25">
      <c r="BN162" s="58"/>
      <c r="BO162" s="58"/>
      <c r="BP162" s="58"/>
      <c r="BQ162" s="58"/>
      <c r="BR162" s="58"/>
      <c r="BS162" s="58"/>
      <c r="BT162" s="58"/>
      <c r="BU162" s="58"/>
      <c r="BV162" s="58"/>
      <c r="BW162" s="58"/>
      <c r="BX162" s="58"/>
      <c r="BY162" s="58"/>
    </row>
  </sheetData>
  <conditionalFormatting sqref="G7:O12">
    <cfRule type="colorScale" priority="161">
      <colorScale>
        <cfvo type="min"/>
        <cfvo type="max"/>
        <color rgb="FF00B0F0"/>
        <color rgb="FFFF0000"/>
      </colorScale>
    </cfRule>
  </conditionalFormatting>
  <conditionalFormatting sqref="Q7:Q12">
    <cfRule type="colorScale" priority="160">
      <colorScale>
        <cfvo type="min"/>
        <cfvo type="max"/>
        <color rgb="FF00B0F0"/>
        <color rgb="FFFF0000"/>
      </colorScale>
    </cfRule>
  </conditionalFormatting>
  <conditionalFormatting sqref="T7:AB12">
    <cfRule type="colorScale" priority="159">
      <colorScale>
        <cfvo type="min"/>
        <cfvo type="max"/>
        <color rgb="FF00B0F0"/>
        <color rgb="FFFF0000"/>
      </colorScale>
    </cfRule>
  </conditionalFormatting>
  <conditionalFormatting sqref="AE7:AM12">
    <cfRule type="colorScale" priority="158">
      <colorScale>
        <cfvo type="min"/>
        <cfvo type="max"/>
        <color rgb="FF00B0F0"/>
        <color rgb="FFFF0000"/>
      </colorScale>
    </cfRule>
  </conditionalFormatting>
  <conditionalFormatting sqref="G16:O21">
    <cfRule type="colorScale" priority="157">
      <colorScale>
        <cfvo type="min"/>
        <cfvo type="max"/>
        <color rgb="FF00B0F0"/>
        <color rgb="FFFF0000"/>
      </colorScale>
    </cfRule>
  </conditionalFormatting>
  <conditionalFormatting sqref="BE28:BM39">
    <cfRule type="cellIs" dxfId="65" priority="154" operator="equal">
      <formula>$BF$25</formula>
    </cfRule>
    <cfRule type="cellIs" dxfId="64" priority="155" operator="equal">
      <formula>$BE$25</formula>
    </cfRule>
    <cfRule type="cellIs" dxfId="63" priority="156" operator="equal">
      <formula>$BH$26</formula>
    </cfRule>
  </conditionalFormatting>
  <conditionalFormatting sqref="BE28:BM39">
    <cfRule type="containsErrors" dxfId="62" priority="112">
      <formula>ISERROR(BE28)</formula>
    </cfRule>
    <cfRule type="cellIs" dxfId="61" priority="113" operator="between">
      <formula>$BE$26</formula>
      <formula>$BF$26</formula>
    </cfRule>
  </conditionalFormatting>
  <conditionalFormatting sqref="BE28:BM39">
    <cfRule type="beginsWith" dxfId="60" priority="110" operator="beginsWith" text="'">
      <formula>LEFT(BE28,LEN("'"))="'"</formula>
    </cfRule>
  </conditionalFormatting>
  <conditionalFormatting sqref="BR28:BZ104">
    <cfRule type="containsErrors" dxfId="59" priority="67">
      <formula>ISERROR(BR28)</formula>
    </cfRule>
  </conditionalFormatting>
  <conditionalFormatting sqref="CF28:CN104">
    <cfRule type="containsErrors" dxfId="58" priority="66">
      <formula>ISERROR(CF28)</formula>
    </cfRule>
  </conditionalFormatting>
  <conditionalFormatting sqref="BE28:BM39">
    <cfRule type="cellIs" dxfId="57" priority="65" operator="equal">
      <formula>0</formula>
    </cfRule>
  </conditionalFormatting>
  <conditionalFormatting sqref="BE41:BM52">
    <cfRule type="cellIs" dxfId="56" priority="62" operator="equal">
      <formula>$BF$25</formula>
    </cfRule>
    <cfRule type="cellIs" dxfId="55" priority="63" operator="equal">
      <formula>$BE$25</formula>
    </cfRule>
    <cfRule type="cellIs" dxfId="54" priority="64" operator="equal">
      <formula>$BH$26</formula>
    </cfRule>
  </conditionalFormatting>
  <conditionalFormatting sqref="BE41:BM52">
    <cfRule type="containsErrors" dxfId="53" priority="59">
      <formula>ISERROR(BE41)</formula>
    </cfRule>
    <cfRule type="cellIs" dxfId="52" priority="60" operator="between">
      <formula>$BE$26</formula>
      <formula>$BF$26</formula>
    </cfRule>
  </conditionalFormatting>
  <conditionalFormatting sqref="BE41:BM52">
    <cfRule type="beginsWith" dxfId="51" priority="58" operator="beginsWith" text="'">
      <formula>LEFT(BE41,LEN("'"))="'"</formula>
    </cfRule>
  </conditionalFormatting>
  <conditionalFormatting sqref="BE41:BM52">
    <cfRule type="cellIs" dxfId="50" priority="57" operator="equal">
      <formula>0</formula>
    </cfRule>
  </conditionalFormatting>
  <conditionalFormatting sqref="BE54:BM65">
    <cfRule type="cellIs" dxfId="49" priority="54" operator="equal">
      <formula>$BF$25</formula>
    </cfRule>
    <cfRule type="cellIs" dxfId="48" priority="55" operator="equal">
      <formula>$BE$25</formula>
    </cfRule>
    <cfRule type="cellIs" dxfId="47" priority="56" operator="equal">
      <formula>$BH$26</formula>
    </cfRule>
  </conditionalFormatting>
  <conditionalFormatting sqref="BE54:BM65">
    <cfRule type="containsErrors" dxfId="46" priority="51">
      <formula>ISERROR(BE54)</formula>
    </cfRule>
    <cfRule type="cellIs" dxfId="45" priority="52" operator="between">
      <formula>$BE$26</formula>
      <formula>$BF$26</formula>
    </cfRule>
  </conditionalFormatting>
  <conditionalFormatting sqref="BE54:BM65">
    <cfRule type="beginsWith" dxfId="44" priority="50" operator="beginsWith" text="'">
      <formula>LEFT(BE54,LEN("'"))="'"</formula>
    </cfRule>
  </conditionalFormatting>
  <conditionalFormatting sqref="BE54:BM65">
    <cfRule type="cellIs" dxfId="43" priority="49" operator="equal">
      <formula>0</formula>
    </cfRule>
  </conditionalFormatting>
  <conditionalFormatting sqref="BE67:BM78">
    <cfRule type="cellIs" dxfId="42" priority="46" operator="equal">
      <formula>$BF$25</formula>
    </cfRule>
    <cfRule type="cellIs" dxfId="41" priority="47" operator="equal">
      <formula>$BE$25</formula>
    </cfRule>
    <cfRule type="cellIs" dxfId="40" priority="48" operator="equal">
      <formula>$BH$26</formula>
    </cfRule>
  </conditionalFormatting>
  <conditionalFormatting sqref="BE67:BM78">
    <cfRule type="containsErrors" dxfId="39" priority="43">
      <formula>ISERROR(BE67)</formula>
    </cfRule>
    <cfRule type="cellIs" dxfId="38" priority="44" operator="between">
      <formula>$BE$26</formula>
      <formula>$BF$26</formula>
    </cfRule>
  </conditionalFormatting>
  <conditionalFormatting sqref="BE67:BM78">
    <cfRule type="beginsWith" dxfId="37" priority="42" operator="beginsWith" text="'">
      <formula>LEFT(BE67,LEN("'"))="'"</formula>
    </cfRule>
  </conditionalFormatting>
  <conditionalFormatting sqref="BE67:BM78">
    <cfRule type="cellIs" dxfId="36" priority="41" operator="equal">
      <formula>0</formula>
    </cfRule>
  </conditionalFormatting>
  <conditionalFormatting sqref="BE80:BM91">
    <cfRule type="cellIs" dxfId="35" priority="38" operator="equal">
      <formula>$BF$25</formula>
    </cfRule>
    <cfRule type="cellIs" dxfId="34" priority="39" operator="equal">
      <formula>$BE$25</formula>
    </cfRule>
    <cfRule type="cellIs" dxfId="33" priority="40" operator="equal">
      <formula>$BH$26</formula>
    </cfRule>
  </conditionalFormatting>
  <conditionalFormatting sqref="BE80:BM91">
    <cfRule type="containsErrors" dxfId="32" priority="35">
      <formula>ISERROR(BE80)</formula>
    </cfRule>
    <cfRule type="cellIs" dxfId="31" priority="36" operator="between">
      <formula>$BE$26</formula>
      <formula>$BF$26</formula>
    </cfRule>
  </conditionalFormatting>
  <conditionalFormatting sqref="BE80:BM91">
    <cfRule type="beginsWith" dxfId="30" priority="34" operator="beginsWith" text="'">
      <formula>LEFT(BE80,LEN("'"))="'"</formula>
    </cfRule>
  </conditionalFormatting>
  <conditionalFormatting sqref="BE80:BM91">
    <cfRule type="cellIs" dxfId="29" priority="33" operator="equal">
      <formula>0</formula>
    </cfRule>
  </conditionalFormatting>
  <conditionalFormatting sqref="BE93:BM104">
    <cfRule type="cellIs" dxfId="28" priority="30" operator="equal">
      <formula>$BF$25</formula>
    </cfRule>
    <cfRule type="cellIs" dxfId="27" priority="31" operator="equal">
      <formula>$BE$25</formula>
    </cfRule>
    <cfRule type="cellIs" dxfId="26" priority="32" operator="equal">
      <formula>$BH$26</formula>
    </cfRule>
  </conditionalFormatting>
  <conditionalFormatting sqref="BE93:BM104">
    <cfRule type="containsErrors" dxfId="25" priority="27">
      <formula>ISERROR(BE93)</formula>
    </cfRule>
    <cfRule type="cellIs" dxfId="24" priority="28" operator="between">
      <formula>$BE$26</formula>
      <formula>$BF$26</formula>
    </cfRule>
  </conditionalFormatting>
  <conditionalFormatting sqref="BE93:BM104">
    <cfRule type="beginsWith" dxfId="23" priority="26" operator="beginsWith" text="'">
      <formula>LEFT(BE93,LEN("'"))="'"</formula>
    </cfRule>
  </conditionalFormatting>
  <conditionalFormatting sqref="BE93:BM104">
    <cfRule type="cellIs" dxfId="22" priority="25" operator="equal">
      <formula>0</formula>
    </cfRule>
  </conditionalFormatting>
  <conditionalFormatting sqref="AO111:AW116">
    <cfRule type="colorScale" priority="24">
      <colorScale>
        <cfvo type="min"/>
        <cfvo type="num" val="0"/>
        <cfvo type="max"/>
        <color rgb="FF0070C0"/>
        <color theme="0"/>
        <color rgb="FFFF0000"/>
      </colorScale>
    </cfRule>
  </conditionalFormatting>
  <conditionalFormatting sqref="BD120:BL125">
    <cfRule type="colorScale" priority="23">
      <colorScale>
        <cfvo type="min"/>
        <cfvo type="num" val="0"/>
        <cfvo type="max"/>
        <color rgb="FF0070C0"/>
        <color theme="0"/>
        <color rgb="FFFF0000"/>
      </colorScale>
    </cfRule>
  </conditionalFormatting>
  <conditionalFormatting sqref="AO120:AO126 AP120:AW125">
    <cfRule type="colorScale" priority="22">
      <colorScale>
        <cfvo type="min"/>
        <cfvo type="percent" val="50"/>
        <cfvo type="max"/>
        <color rgb="FF0070C0"/>
        <color theme="0"/>
        <color rgb="FFFF0000"/>
      </colorScale>
    </cfRule>
  </conditionalFormatting>
  <conditionalFormatting sqref="BD129:BL134">
    <cfRule type="colorScale" priority="21">
      <colorScale>
        <cfvo type="min"/>
        <cfvo type="percent" val="50"/>
        <cfvo type="max"/>
        <color rgb="FF0070C0"/>
        <color theme="0"/>
        <color rgb="FFFF0000"/>
      </colorScale>
    </cfRule>
  </conditionalFormatting>
  <conditionalFormatting sqref="AB120:AJ125">
    <cfRule type="colorScale" priority="19">
      <colorScale>
        <cfvo type="min"/>
        <cfvo type="max"/>
        <color rgb="FF00B0F0"/>
        <color rgb="FFFF0000"/>
      </colorScale>
    </cfRule>
  </conditionalFormatting>
  <conditionalFormatting sqref="AO129:AW134">
    <cfRule type="colorScale" priority="18">
      <colorScale>
        <cfvo type="min"/>
        <cfvo type="percent" val="50"/>
        <cfvo type="max"/>
        <color rgb="FF0070C0"/>
        <color theme="0"/>
        <color rgb="FFFF0000"/>
      </colorScale>
    </cfRule>
  </conditionalFormatting>
  <conditionalFormatting sqref="AR94">
    <cfRule type="cellIs" dxfId="21" priority="15" operator="equal">
      <formula>$BF$25</formula>
    </cfRule>
    <cfRule type="cellIs" dxfId="20" priority="16" operator="equal">
      <formula>$BE$25</formula>
    </cfRule>
    <cfRule type="cellIs" dxfId="19" priority="17" operator="equal">
      <formula>$BH$26</formula>
    </cfRule>
  </conditionalFormatting>
  <conditionalFormatting sqref="AR94">
    <cfRule type="containsErrors" dxfId="18" priority="12">
      <formula>ISERROR(AR94)</formula>
    </cfRule>
    <cfRule type="cellIs" dxfId="17" priority="13" operator="between">
      <formula>$BE$26</formula>
      <formula>$BF$26</formula>
    </cfRule>
  </conditionalFormatting>
  <conditionalFormatting sqref="AR94">
    <cfRule type="beginsWith" dxfId="16" priority="11" operator="beginsWith" text="'">
      <formula>LEFT(AR94,LEN("'"))="'"</formula>
    </cfRule>
  </conditionalFormatting>
  <conditionalFormatting sqref="AR94">
    <cfRule type="cellIs" dxfId="15" priority="10" operator="equal">
      <formula>0</formula>
    </cfRule>
  </conditionalFormatting>
  <conditionalFormatting sqref="AN42">
    <cfRule type="cellIs" dxfId="14" priority="7" operator="equal">
      <formula>$BF$25</formula>
    </cfRule>
    <cfRule type="cellIs" dxfId="13" priority="8" operator="equal">
      <formula>$BE$25</formula>
    </cfRule>
    <cfRule type="cellIs" dxfId="12" priority="9" operator="equal">
      <formula>$BH$26</formula>
    </cfRule>
  </conditionalFormatting>
  <conditionalFormatting sqref="AN42">
    <cfRule type="containsErrors" dxfId="11" priority="4">
      <formula>ISERROR(AN42)</formula>
    </cfRule>
    <cfRule type="cellIs" dxfId="10" priority="5" operator="between">
      <formula>$BE$26</formula>
      <formula>$BF$26</formula>
    </cfRule>
  </conditionalFormatting>
  <conditionalFormatting sqref="AN42">
    <cfRule type="beginsWith" dxfId="9" priority="3" operator="beginsWith" text="'">
      <formula>LEFT(AN42,LEN("'"))="'"</formula>
    </cfRule>
  </conditionalFormatting>
  <conditionalFormatting sqref="AN42">
    <cfRule type="cellIs" dxfId="8" priority="2" operator="equal">
      <formula>0</formula>
    </cfRule>
  </conditionalFormatting>
  <conditionalFormatting sqref="BD138:BL143">
    <cfRule type="colorScale" priority="1">
      <colorScale>
        <cfvo type="min"/>
        <cfvo type="max"/>
        <color theme="0"/>
        <color rgb="FFFF0000"/>
      </colorScale>
    </cfRule>
  </conditionalFormatting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50" operator="containsText" id="{C925F9D3-FCC5-49FF-A1D7-790D24D0EA35}">
            <xm:f>NOT(ISERROR(SEARCH($BH$26,BE28)))</xm:f>
            <xm:f>$BH$26</xm:f>
            <x14:dxf>
              <fill>
                <patternFill>
                  <bgColor theme="1"/>
                </patternFill>
              </fill>
            </x14:dxf>
          </x14:cfRule>
          <xm:sqref>BE28:BM39</xm:sqref>
        </x14:conditionalFormatting>
        <x14:conditionalFormatting xmlns:xm="http://schemas.microsoft.com/office/excel/2006/main">
          <x14:cfRule type="containsText" priority="61" operator="containsText" id="{40A7046E-FEBF-4863-B1E6-61EC7F720100}">
            <xm:f>NOT(ISERROR(SEARCH($BH$26,BE41)))</xm:f>
            <xm:f>$BH$26</xm:f>
            <x14:dxf>
              <fill>
                <patternFill>
                  <bgColor theme="1"/>
                </patternFill>
              </fill>
            </x14:dxf>
          </x14:cfRule>
          <xm:sqref>BE41:BM52</xm:sqref>
        </x14:conditionalFormatting>
        <x14:conditionalFormatting xmlns:xm="http://schemas.microsoft.com/office/excel/2006/main">
          <x14:cfRule type="containsText" priority="53" operator="containsText" id="{731F7E7F-5F04-4D55-AED7-6C146C7CDE5C}">
            <xm:f>NOT(ISERROR(SEARCH($BH$26,BE54)))</xm:f>
            <xm:f>$BH$26</xm:f>
            <x14:dxf>
              <fill>
                <patternFill>
                  <bgColor theme="1"/>
                </patternFill>
              </fill>
            </x14:dxf>
          </x14:cfRule>
          <xm:sqref>BE54:BM65</xm:sqref>
        </x14:conditionalFormatting>
        <x14:conditionalFormatting xmlns:xm="http://schemas.microsoft.com/office/excel/2006/main">
          <x14:cfRule type="containsText" priority="45" operator="containsText" id="{09C465DA-5109-4F6D-A8A5-A6EDCC128E9B}">
            <xm:f>NOT(ISERROR(SEARCH($BH$26,BE67)))</xm:f>
            <xm:f>$BH$26</xm:f>
            <x14:dxf>
              <fill>
                <patternFill>
                  <bgColor theme="1"/>
                </patternFill>
              </fill>
            </x14:dxf>
          </x14:cfRule>
          <xm:sqref>BE67:BM78</xm:sqref>
        </x14:conditionalFormatting>
        <x14:conditionalFormatting xmlns:xm="http://schemas.microsoft.com/office/excel/2006/main">
          <x14:cfRule type="containsText" priority="37" operator="containsText" id="{E3B92A94-3575-40D3-9A70-D0FC2C846A31}">
            <xm:f>NOT(ISERROR(SEARCH($BH$26,BE80)))</xm:f>
            <xm:f>$BH$26</xm:f>
            <x14:dxf>
              <fill>
                <patternFill>
                  <bgColor theme="1"/>
                </patternFill>
              </fill>
            </x14:dxf>
          </x14:cfRule>
          <xm:sqref>BE80:BM91</xm:sqref>
        </x14:conditionalFormatting>
        <x14:conditionalFormatting xmlns:xm="http://schemas.microsoft.com/office/excel/2006/main">
          <x14:cfRule type="containsText" priority="29" operator="containsText" id="{2699DFB4-9AD3-4F7F-B8EB-AD97BA67A4E7}">
            <xm:f>NOT(ISERROR(SEARCH($BH$26,BE93)))</xm:f>
            <xm:f>$BH$26</xm:f>
            <x14:dxf>
              <fill>
                <patternFill>
                  <bgColor theme="1"/>
                </patternFill>
              </fill>
            </x14:dxf>
          </x14:cfRule>
          <xm:sqref>BE93:BM104</xm:sqref>
        </x14:conditionalFormatting>
        <x14:conditionalFormatting xmlns:xm="http://schemas.microsoft.com/office/excel/2006/main">
          <x14:cfRule type="containsText" priority="14" operator="containsText" id="{215EAE09-889F-49D0-AE21-62FB5403CFA0}">
            <xm:f>NOT(ISERROR(SEARCH($BH$26,AR94)))</xm:f>
            <xm:f>$BH$26</xm:f>
            <x14:dxf>
              <fill>
                <patternFill>
                  <bgColor theme="1"/>
                </patternFill>
              </fill>
            </x14:dxf>
          </x14:cfRule>
          <xm:sqref>AR94</xm:sqref>
        </x14:conditionalFormatting>
        <x14:conditionalFormatting xmlns:xm="http://schemas.microsoft.com/office/excel/2006/main">
          <x14:cfRule type="containsText" priority="6" operator="containsText" id="{35FBDAA7-29E6-4B8B-8347-64C9A3779FEE}">
            <xm:f>NOT(ISERROR(SEARCH($BH$26,AN42)))</xm:f>
            <xm:f>$BH$26</xm:f>
            <x14:dxf>
              <fill>
                <patternFill>
                  <bgColor theme="1"/>
                </patternFill>
              </fill>
            </x14:dxf>
          </x14:cfRule>
          <xm:sqref>AN42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2025-04-04T12:24:27Z</dcterms:modified>
</cp:coreProperties>
</file>