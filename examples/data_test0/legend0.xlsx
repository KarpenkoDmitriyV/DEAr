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3" r:id="rId1"/>
    <sheet name="2" sheetId="4" r:id="rId2"/>
  </sheets>
  <calcPr calcId="152511"/>
</workbook>
</file>

<file path=xl/calcChain.xml><?xml version="1.0" encoding="utf-8"?>
<calcChain xmlns="http://schemas.openxmlformats.org/spreadsheetml/2006/main">
  <c r="AI35" i="4" l="1"/>
  <c r="AJ35" i="4"/>
  <c r="AK35" i="4"/>
  <c r="AL35" i="4"/>
  <c r="AM35" i="4"/>
  <c r="AN35" i="4"/>
  <c r="AO35" i="4"/>
  <c r="AP35" i="4"/>
  <c r="AQ35" i="4"/>
  <c r="AI36" i="4"/>
  <c r="AJ36" i="4"/>
  <c r="AK36" i="4"/>
  <c r="AL36" i="4"/>
  <c r="AM36" i="4"/>
  <c r="AN36" i="4"/>
  <c r="AO36" i="4"/>
  <c r="AP36" i="4"/>
  <c r="AQ36" i="4"/>
  <c r="AI37" i="4"/>
  <c r="AJ37" i="4"/>
  <c r="AK37" i="4"/>
  <c r="AL37" i="4"/>
  <c r="AM37" i="4"/>
  <c r="AN37" i="4"/>
  <c r="AO37" i="4"/>
  <c r="AP37" i="4"/>
  <c r="AQ37" i="4"/>
  <c r="AI38" i="4"/>
  <c r="AJ38" i="4"/>
  <c r="AK38" i="4"/>
  <c r="AL38" i="4"/>
  <c r="AM38" i="4"/>
  <c r="AN38" i="4"/>
  <c r="AO38" i="4"/>
  <c r="AP38" i="4"/>
  <c r="AQ38" i="4"/>
  <c r="AI39" i="4"/>
  <c r="AJ39" i="4"/>
  <c r="AK39" i="4"/>
  <c r="AL39" i="4"/>
  <c r="AM39" i="4"/>
  <c r="AN39" i="4"/>
  <c r="AO39" i="4"/>
  <c r="AP39" i="4"/>
  <c r="AQ39" i="4"/>
  <c r="AI40" i="4"/>
  <c r="AJ40" i="4"/>
  <c r="AK40" i="4"/>
  <c r="AL40" i="4"/>
  <c r="AM40" i="4"/>
  <c r="AN40" i="4"/>
  <c r="AO40" i="4"/>
  <c r="AP40" i="4"/>
  <c r="AQ40" i="4"/>
  <c r="AQ49" i="4" l="1"/>
  <c r="AP49" i="4"/>
  <c r="AO49" i="4"/>
  <c r="AN49" i="4"/>
  <c r="AM49" i="4"/>
  <c r="AL49" i="4"/>
  <c r="AK49" i="4"/>
  <c r="AJ49" i="4"/>
  <c r="AI49" i="4"/>
  <c r="AQ48" i="4"/>
  <c r="AP48" i="4"/>
  <c r="AO48" i="4"/>
  <c r="AN48" i="4"/>
  <c r="AM48" i="4"/>
  <c r="AL48" i="4"/>
  <c r="AK48" i="4"/>
  <c r="AJ48" i="4"/>
  <c r="AI48" i="4"/>
  <c r="AQ47" i="4"/>
  <c r="AP47" i="4"/>
  <c r="AO47" i="4"/>
  <c r="AN47" i="4"/>
  <c r="AM47" i="4"/>
  <c r="AL47" i="4"/>
  <c r="AK47" i="4"/>
  <c r="AJ47" i="4"/>
  <c r="AI47" i="4"/>
  <c r="AQ46" i="4"/>
  <c r="AP46" i="4"/>
  <c r="AO46" i="4"/>
  <c r="AN46" i="4"/>
  <c r="AM46" i="4"/>
  <c r="AL46" i="4"/>
  <c r="AK46" i="4"/>
  <c r="AJ46" i="4"/>
  <c r="AI46" i="4"/>
  <c r="AQ45" i="4"/>
  <c r="AP45" i="4"/>
  <c r="AO45" i="4"/>
  <c r="AN45" i="4"/>
  <c r="AM45" i="4"/>
  <c r="AL45" i="4"/>
  <c r="AK45" i="4"/>
  <c r="AJ45" i="4"/>
  <c r="AI45" i="4"/>
  <c r="AQ44" i="4"/>
  <c r="AP44" i="4"/>
  <c r="AO44" i="4"/>
  <c r="AN44" i="4"/>
  <c r="AM44" i="4"/>
  <c r="AL44" i="4"/>
  <c r="AK44" i="4"/>
  <c r="AJ44" i="4"/>
  <c r="AI44" i="4"/>
  <c r="AB49" i="4"/>
  <c r="AA49" i="4"/>
  <c r="Z49" i="4"/>
  <c r="Y49" i="4"/>
  <c r="X49" i="4"/>
  <c r="W49" i="4"/>
  <c r="V49" i="4"/>
  <c r="U49" i="4"/>
  <c r="T49" i="4"/>
  <c r="AB48" i="4"/>
  <c r="AA48" i="4"/>
  <c r="Z48" i="4"/>
  <c r="Y48" i="4"/>
  <c r="X48" i="4"/>
  <c r="W48" i="4"/>
  <c r="V48" i="4"/>
  <c r="U48" i="4"/>
  <c r="T48" i="4"/>
  <c r="AB47" i="4"/>
  <c r="AA47" i="4"/>
  <c r="Z47" i="4"/>
  <c r="Y47" i="4"/>
  <c r="X47" i="4"/>
  <c r="W47" i="4"/>
  <c r="V47" i="4"/>
  <c r="U47" i="4"/>
  <c r="T47" i="4"/>
  <c r="AB46" i="4"/>
  <c r="AA46" i="4"/>
  <c r="Z46" i="4"/>
  <c r="Y46" i="4"/>
  <c r="X46" i="4"/>
  <c r="W46" i="4"/>
  <c r="V46" i="4"/>
  <c r="U46" i="4"/>
  <c r="T46" i="4"/>
  <c r="AB45" i="4"/>
  <c r="AA45" i="4"/>
  <c r="Z45" i="4"/>
  <c r="Y45" i="4"/>
  <c r="X45" i="4"/>
  <c r="W45" i="4"/>
  <c r="V45" i="4"/>
  <c r="U45" i="4"/>
  <c r="T45" i="4"/>
  <c r="AB44" i="4"/>
  <c r="AA44" i="4"/>
  <c r="Z44" i="4"/>
  <c r="Y44" i="4"/>
  <c r="X44" i="4"/>
  <c r="W44" i="4"/>
  <c r="V44" i="4"/>
  <c r="U44" i="4"/>
  <c r="T44" i="4"/>
  <c r="AI44" i="3"/>
  <c r="AJ44" i="3"/>
  <c r="AK44" i="3"/>
  <c r="AL44" i="3"/>
  <c r="AM44" i="3"/>
  <c r="AN44" i="3"/>
  <c r="AO44" i="3"/>
  <c r="AP44" i="3"/>
  <c r="AI45" i="3"/>
  <c r="AJ45" i="3"/>
  <c r="AK45" i="3"/>
  <c r="AL45" i="3"/>
  <c r="AM45" i="3"/>
  <c r="AN45" i="3"/>
  <c r="AO45" i="3"/>
  <c r="AP45" i="3"/>
  <c r="AI46" i="3"/>
  <c r="AJ46" i="3"/>
  <c r="AK46" i="3"/>
  <c r="AL46" i="3"/>
  <c r="AM46" i="3"/>
  <c r="AN46" i="3"/>
  <c r="AO46" i="3"/>
  <c r="AP46" i="3"/>
  <c r="AI47" i="3"/>
  <c r="AJ47" i="3"/>
  <c r="AK47" i="3"/>
  <c r="AL47" i="3"/>
  <c r="AM47" i="3"/>
  <c r="AN47" i="3"/>
  <c r="AO47" i="3"/>
  <c r="AP47" i="3"/>
  <c r="AI48" i="3"/>
  <c r="AJ48" i="3"/>
  <c r="AK48" i="3"/>
  <c r="AL48" i="3"/>
  <c r="AM48" i="3"/>
  <c r="AN48" i="3"/>
  <c r="AO48" i="3"/>
  <c r="AP48" i="3"/>
  <c r="AI49" i="3"/>
  <c r="AJ49" i="3"/>
  <c r="AK49" i="3"/>
  <c r="AL49" i="3"/>
  <c r="AM49" i="3"/>
  <c r="AN49" i="3"/>
  <c r="AO49" i="3"/>
  <c r="AP49" i="3"/>
  <c r="AQ45" i="3"/>
  <c r="AQ46" i="3"/>
  <c r="AQ47" i="3"/>
  <c r="AQ48" i="3"/>
  <c r="AQ49" i="3"/>
  <c r="AQ44" i="3"/>
  <c r="T44" i="3"/>
  <c r="U44" i="3"/>
  <c r="V44" i="3"/>
  <c r="W44" i="3"/>
  <c r="X44" i="3"/>
  <c r="Y44" i="3"/>
  <c r="Z44" i="3"/>
  <c r="AA44" i="3"/>
  <c r="T45" i="3"/>
  <c r="U45" i="3"/>
  <c r="V45" i="3"/>
  <c r="W45" i="3"/>
  <c r="X45" i="3"/>
  <c r="Y45" i="3"/>
  <c r="Z45" i="3"/>
  <c r="AA45" i="3"/>
  <c r="T46" i="3"/>
  <c r="U46" i="3"/>
  <c r="V46" i="3"/>
  <c r="W46" i="3"/>
  <c r="X46" i="3"/>
  <c r="Y46" i="3"/>
  <c r="Z46" i="3"/>
  <c r="AA46" i="3"/>
  <c r="T47" i="3"/>
  <c r="U47" i="3"/>
  <c r="V47" i="3"/>
  <c r="W47" i="3"/>
  <c r="X47" i="3"/>
  <c r="Y47" i="3"/>
  <c r="Z47" i="3"/>
  <c r="AA47" i="3"/>
  <c r="T48" i="3"/>
  <c r="U48" i="3"/>
  <c r="V48" i="3"/>
  <c r="W48" i="3"/>
  <c r="X48" i="3"/>
  <c r="Y48" i="3"/>
  <c r="Z48" i="3"/>
  <c r="AA48" i="3"/>
  <c r="T49" i="3"/>
  <c r="U49" i="3"/>
  <c r="V49" i="3"/>
  <c r="W49" i="3"/>
  <c r="X49" i="3"/>
  <c r="Y49" i="3"/>
  <c r="Z49" i="3"/>
  <c r="AA49" i="3"/>
  <c r="AB45" i="3"/>
  <c r="AB46" i="3"/>
  <c r="AB47" i="3"/>
  <c r="AB48" i="3"/>
  <c r="AB49" i="3"/>
  <c r="AB44" i="3"/>
  <c r="U43" i="4"/>
  <c r="V43" i="4"/>
  <c r="W43" i="4"/>
  <c r="X43" i="4"/>
  <c r="Y43" i="4"/>
  <c r="Z43" i="4"/>
  <c r="AA43" i="4"/>
  <c r="AB43" i="4"/>
  <c r="S45" i="4"/>
  <c r="S46" i="4"/>
  <c r="S47" i="4"/>
  <c r="S48" i="4"/>
  <c r="S49" i="4"/>
  <c r="S44" i="4"/>
  <c r="T43" i="4"/>
  <c r="S45" i="3"/>
  <c r="S46" i="3"/>
  <c r="S47" i="3"/>
  <c r="S48" i="3"/>
  <c r="S49" i="3"/>
  <c r="S44" i="3"/>
  <c r="U43" i="3"/>
  <c r="V43" i="3"/>
  <c r="W43" i="3"/>
  <c r="X43" i="3"/>
  <c r="Y43" i="3"/>
  <c r="Z43" i="3"/>
  <c r="AA43" i="3"/>
  <c r="AB43" i="3"/>
  <c r="T43" i="3"/>
  <c r="E43" i="4" l="1"/>
  <c r="E42" i="4"/>
  <c r="BE40" i="4"/>
  <c r="BA40" i="4"/>
  <c r="AZ40" i="4"/>
  <c r="AY40" i="4"/>
  <c r="AW40" i="4"/>
  <c r="AH40" i="4"/>
  <c r="AH49" i="4" s="1"/>
  <c r="AB40" i="4"/>
  <c r="AA40" i="4"/>
  <c r="BD40" i="4" s="1"/>
  <c r="Z40" i="4"/>
  <c r="Y40" i="4"/>
  <c r="X40" i="4"/>
  <c r="W40" i="4"/>
  <c r="V40" i="4"/>
  <c r="U40" i="4"/>
  <c r="AX40" i="4" s="1"/>
  <c r="T40" i="4"/>
  <c r="E40" i="4"/>
  <c r="BE39" i="4"/>
  <c r="BC39" i="4"/>
  <c r="AX39" i="4"/>
  <c r="AW39" i="4"/>
  <c r="AH39" i="4"/>
  <c r="AH48" i="4" s="1"/>
  <c r="AB39" i="4"/>
  <c r="AA39" i="4"/>
  <c r="BD39" i="4" s="1"/>
  <c r="Z39" i="4"/>
  <c r="Y39" i="4"/>
  <c r="BB39" i="4" s="1"/>
  <c r="X39" i="4"/>
  <c r="W39" i="4"/>
  <c r="V39" i="4"/>
  <c r="AY39" i="4" s="1"/>
  <c r="U39" i="4"/>
  <c r="T39" i="4"/>
  <c r="L39" i="4"/>
  <c r="K39" i="4"/>
  <c r="BC38" i="4"/>
  <c r="BE38" i="4"/>
  <c r="BD38" i="4"/>
  <c r="BA38" i="4"/>
  <c r="AW38" i="4"/>
  <c r="AH38" i="4"/>
  <c r="AH47" i="4" s="1"/>
  <c r="AB38" i="4"/>
  <c r="AA38" i="4"/>
  <c r="Z38" i="4"/>
  <c r="Y38" i="4"/>
  <c r="BB38" i="4" s="1"/>
  <c r="X38" i="4"/>
  <c r="W38" i="4"/>
  <c r="V38" i="4"/>
  <c r="U38" i="4"/>
  <c r="AX38" i="4" s="1"/>
  <c r="T38" i="4"/>
  <c r="BB37" i="4"/>
  <c r="BA37" i="4"/>
  <c r="AZ37" i="4"/>
  <c r="AX37" i="4"/>
  <c r="AH37" i="4"/>
  <c r="AH46" i="4" s="1"/>
  <c r="AB37" i="4"/>
  <c r="AA37" i="4"/>
  <c r="Z37" i="4"/>
  <c r="BC37" i="4" s="1"/>
  <c r="Y37" i="4"/>
  <c r="X37" i="4"/>
  <c r="W37" i="4"/>
  <c r="V37" i="4"/>
  <c r="AY37" i="4" s="1"/>
  <c r="U37" i="4"/>
  <c r="T37" i="4"/>
  <c r="S37" i="4"/>
  <c r="D37" i="4"/>
  <c r="E45" i="4" s="1"/>
  <c r="BD36" i="4"/>
  <c r="AZ36" i="4"/>
  <c r="AY36" i="4"/>
  <c r="AX36" i="4"/>
  <c r="AH36" i="4"/>
  <c r="AH45" i="4" s="1"/>
  <c r="AB36" i="4"/>
  <c r="BE36" i="4" s="1"/>
  <c r="AA36" i="4"/>
  <c r="Z36" i="4"/>
  <c r="Y36" i="4"/>
  <c r="BB36" i="4" s="1"/>
  <c r="X36" i="4"/>
  <c r="BA36" i="4" s="1"/>
  <c r="W36" i="4"/>
  <c r="V36" i="4"/>
  <c r="U36" i="4"/>
  <c r="T36" i="4"/>
  <c r="AW36" i="4" s="1"/>
  <c r="D36" i="4"/>
  <c r="E44" i="4" s="1"/>
  <c r="BB35" i="4"/>
  <c r="BE35" i="4"/>
  <c r="BD35" i="4"/>
  <c r="AW35" i="4"/>
  <c r="AH35" i="4"/>
  <c r="AH44" i="4" s="1"/>
  <c r="AB35" i="4"/>
  <c r="AA35" i="4"/>
  <c r="Z35" i="4"/>
  <c r="BC35" i="4" s="1"/>
  <c r="Y35" i="4"/>
  <c r="X35" i="4"/>
  <c r="W35" i="4"/>
  <c r="AZ35" i="4" s="1"/>
  <c r="V35" i="4"/>
  <c r="AY35" i="4" s="1"/>
  <c r="U35" i="4"/>
  <c r="T35" i="4"/>
  <c r="D35" i="4"/>
  <c r="AQ34" i="4"/>
  <c r="AQ43" i="4" s="1"/>
  <c r="AP34" i="4"/>
  <c r="AP43" i="4" s="1"/>
  <c r="AO34" i="4"/>
  <c r="AO43" i="4" s="1"/>
  <c r="AN34" i="4"/>
  <c r="AN43" i="4" s="1"/>
  <c r="AM34" i="4"/>
  <c r="AM43" i="4" s="1"/>
  <c r="AL34" i="4"/>
  <c r="AL43" i="4" s="1"/>
  <c r="AK34" i="4"/>
  <c r="AK43" i="4" s="1"/>
  <c r="AJ34" i="4"/>
  <c r="AJ43" i="4" s="1"/>
  <c r="AI34" i="4"/>
  <c r="AI43" i="4" s="1"/>
  <c r="AA34" i="4"/>
  <c r="Z34" i="4"/>
  <c r="D34" i="4"/>
  <c r="D33" i="4"/>
  <c r="E41" i="4" s="1"/>
  <c r="D32" i="4"/>
  <c r="N31" i="4"/>
  <c r="N39" i="4" s="1"/>
  <c r="M31" i="4"/>
  <c r="M39" i="4" s="1"/>
  <c r="L31" i="4"/>
  <c r="K31" i="4"/>
  <c r="J31" i="4"/>
  <c r="J39" i="4" s="1"/>
  <c r="I31" i="4"/>
  <c r="I39" i="4" s="1"/>
  <c r="H31" i="4"/>
  <c r="H39" i="4" s="1"/>
  <c r="G31" i="4"/>
  <c r="G39" i="4" s="1"/>
  <c r="F31" i="4"/>
  <c r="F39" i="4" s="1"/>
  <c r="BD27" i="4"/>
  <c r="AZ27" i="4"/>
  <c r="AC27" i="4"/>
  <c r="BE27" i="4" s="1"/>
  <c r="AB27" i="4"/>
  <c r="AA27" i="4"/>
  <c r="BC27" i="4" s="1"/>
  <c r="Z27" i="4"/>
  <c r="BB27" i="4" s="1"/>
  <c r="Y27" i="4"/>
  <c r="BA27" i="4" s="1"/>
  <c r="X27" i="4"/>
  <c r="W27" i="4"/>
  <c r="AY27" i="4" s="1"/>
  <c r="V27" i="4"/>
  <c r="AX27" i="4" s="1"/>
  <c r="U27" i="4"/>
  <c r="AW27" i="4" s="1"/>
  <c r="S27" i="4"/>
  <c r="S40" i="4" s="1"/>
  <c r="D27" i="4"/>
  <c r="BD26" i="4"/>
  <c r="BB26" i="4"/>
  <c r="AZ26" i="4"/>
  <c r="AC26" i="4"/>
  <c r="BE26" i="4" s="1"/>
  <c r="AB26" i="4"/>
  <c r="AA26" i="4"/>
  <c r="BC26" i="4" s="1"/>
  <c r="Z26" i="4"/>
  <c r="Y26" i="4"/>
  <c r="BA26" i="4" s="1"/>
  <c r="X26" i="4"/>
  <c r="W26" i="4"/>
  <c r="AY26" i="4" s="1"/>
  <c r="V26" i="4"/>
  <c r="AX26" i="4" s="1"/>
  <c r="U26" i="4"/>
  <c r="AW26" i="4" s="1"/>
  <c r="S26" i="4"/>
  <c r="S39" i="4" s="1"/>
  <c r="D26" i="4"/>
  <c r="BD25" i="4"/>
  <c r="AZ25" i="4"/>
  <c r="AX25" i="4"/>
  <c r="AC25" i="4"/>
  <c r="BE25" i="4" s="1"/>
  <c r="AB25" i="4"/>
  <c r="AA25" i="4"/>
  <c r="BC25" i="4" s="1"/>
  <c r="Z25" i="4"/>
  <c r="BB25" i="4" s="1"/>
  <c r="Y25" i="4"/>
  <c r="BA25" i="4" s="1"/>
  <c r="X25" i="4"/>
  <c r="W25" i="4"/>
  <c r="AY25" i="4" s="1"/>
  <c r="V25" i="4"/>
  <c r="U25" i="4"/>
  <c r="AW25" i="4" s="1"/>
  <c r="S25" i="4"/>
  <c r="S38" i="4" s="1"/>
  <c r="D25" i="4"/>
  <c r="BD24" i="4"/>
  <c r="BB24" i="4"/>
  <c r="AZ24" i="4"/>
  <c r="AC24" i="4"/>
  <c r="BE24" i="4" s="1"/>
  <c r="AB24" i="4"/>
  <c r="AA24" i="4"/>
  <c r="BC24" i="4" s="1"/>
  <c r="Z24" i="4"/>
  <c r="Y24" i="4"/>
  <c r="BA24" i="4" s="1"/>
  <c r="X24" i="4"/>
  <c r="W24" i="4"/>
  <c r="AY24" i="4" s="1"/>
  <c r="V24" i="4"/>
  <c r="AX24" i="4" s="1"/>
  <c r="U24" i="4"/>
  <c r="AW24" i="4" s="1"/>
  <c r="S24" i="4"/>
  <c r="D24" i="4"/>
  <c r="BD23" i="4"/>
  <c r="AZ23" i="4"/>
  <c r="AX23" i="4"/>
  <c r="AC23" i="4"/>
  <c r="BE23" i="4" s="1"/>
  <c r="AB23" i="4"/>
  <c r="AA23" i="4"/>
  <c r="BC23" i="4" s="1"/>
  <c r="Z23" i="4"/>
  <c r="BB23" i="4" s="1"/>
  <c r="Y23" i="4"/>
  <c r="BA23" i="4" s="1"/>
  <c r="X23" i="4"/>
  <c r="W23" i="4"/>
  <c r="AY23" i="4" s="1"/>
  <c r="V23" i="4"/>
  <c r="U23" i="4"/>
  <c r="AW23" i="4" s="1"/>
  <c r="S23" i="4"/>
  <c r="S36" i="4" s="1"/>
  <c r="D23" i="4"/>
  <c r="BD22" i="4"/>
  <c r="BB22" i="4"/>
  <c r="AZ22" i="4"/>
  <c r="AC22" i="4"/>
  <c r="BE22" i="4" s="1"/>
  <c r="AB22" i="4"/>
  <c r="AA22" i="4"/>
  <c r="BC22" i="4" s="1"/>
  <c r="Z22" i="4"/>
  <c r="Y22" i="4"/>
  <c r="BA22" i="4" s="1"/>
  <c r="X22" i="4"/>
  <c r="W22" i="4"/>
  <c r="AY22" i="4" s="1"/>
  <c r="V22" i="4"/>
  <c r="AX22" i="4" s="1"/>
  <c r="U22" i="4"/>
  <c r="AW22" i="4" s="1"/>
  <c r="S22" i="4"/>
  <c r="S35" i="4" s="1"/>
  <c r="D22" i="4"/>
  <c r="AC21" i="4"/>
  <c r="AB34" i="4" s="1"/>
  <c r="AB21" i="4"/>
  <c r="AA21" i="4"/>
  <c r="Z21" i="4"/>
  <c r="Y34" i="4" s="1"/>
  <c r="Y21" i="4"/>
  <c r="X34" i="4" s="1"/>
  <c r="X21" i="4"/>
  <c r="W34" i="4" s="1"/>
  <c r="W21" i="4"/>
  <c r="V34" i="4" s="1"/>
  <c r="V21" i="4"/>
  <c r="U34" i="4" s="1"/>
  <c r="U21" i="4"/>
  <c r="T34" i="4" s="1"/>
  <c r="N21" i="4"/>
  <c r="M21" i="4"/>
  <c r="L21" i="4"/>
  <c r="K21" i="4"/>
  <c r="J21" i="4"/>
  <c r="I21" i="4"/>
  <c r="H21" i="4"/>
  <c r="G21" i="4"/>
  <c r="F21" i="4"/>
  <c r="E42" i="3"/>
  <c r="AQ40" i="3"/>
  <c r="AP40" i="3"/>
  <c r="AO40" i="3"/>
  <c r="BC40" i="3" s="1"/>
  <c r="AN40" i="3"/>
  <c r="AM40" i="3"/>
  <c r="BA40" i="3" s="1"/>
  <c r="AL40" i="3"/>
  <c r="AK40" i="3"/>
  <c r="AY40" i="3" s="1"/>
  <c r="AJ40" i="3"/>
  <c r="AI40" i="3"/>
  <c r="AH40" i="3"/>
  <c r="AH49" i="3" s="1"/>
  <c r="AB40" i="3"/>
  <c r="AA40" i="3"/>
  <c r="Z40" i="3"/>
  <c r="Y40" i="3"/>
  <c r="X40" i="3"/>
  <c r="W40" i="3"/>
  <c r="V40" i="3"/>
  <c r="U40" i="3"/>
  <c r="T40" i="3"/>
  <c r="AQ39" i="3"/>
  <c r="BE39" i="3" s="1"/>
  <c r="AP39" i="3"/>
  <c r="AO39" i="3"/>
  <c r="AN39" i="3"/>
  <c r="AM39" i="3"/>
  <c r="BA39" i="3" s="1"/>
  <c r="AL39" i="3"/>
  <c r="AK39" i="3"/>
  <c r="AY39" i="3" s="1"/>
  <c r="AJ39" i="3"/>
  <c r="AI39" i="3"/>
  <c r="AW39" i="3" s="1"/>
  <c r="AH39" i="3"/>
  <c r="AH48" i="3" s="1"/>
  <c r="AB39" i="3"/>
  <c r="AA39" i="3"/>
  <c r="Z39" i="3"/>
  <c r="Y39" i="3"/>
  <c r="X39" i="3"/>
  <c r="W39" i="3"/>
  <c r="V39" i="3"/>
  <c r="U39" i="3"/>
  <c r="T39" i="3"/>
  <c r="K39" i="3"/>
  <c r="I39" i="3"/>
  <c r="AQ38" i="3"/>
  <c r="BE38" i="3" s="1"/>
  <c r="AP38" i="3"/>
  <c r="AO38" i="3"/>
  <c r="BC38" i="3" s="1"/>
  <c r="AN38" i="3"/>
  <c r="AM38" i="3"/>
  <c r="BA38" i="3" s="1"/>
  <c r="AL38" i="3"/>
  <c r="AK38" i="3"/>
  <c r="AY38" i="3" s="1"/>
  <c r="AJ38" i="3"/>
  <c r="AI38" i="3"/>
  <c r="AW38" i="3" s="1"/>
  <c r="AH38" i="3"/>
  <c r="AH47" i="3" s="1"/>
  <c r="AB38" i="3"/>
  <c r="AA38" i="3"/>
  <c r="Z38" i="3"/>
  <c r="Y38" i="3"/>
  <c r="X38" i="3"/>
  <c r="W38" i="3"/>
  <c r="V38" i="3"/>
  <c r="U38" i="3"/>
  <c r="T38" i="3"/>
  <c r="AQ37" i="3"/>
  <c r="AP37" i="3"/>
  <c r="BD37" i="3" s="1"/>
  <c r="AO37" i="3"/>
  <c r="AN37" i="3"/>
  <c r="BB37" i="3" s="1"/>
  <c r="AM37" i="3"/>
  <c r="AL37" i="3"/>
  <c r="AZ37" i="3" s="1"/>
  <c r="AK37" i="3"/>
  <c r="AJ37" i="3"/>
  <c r="AI37" i="3"/>
  <c r="AH37" i="3"/>
  <c r="AH46" i="3" s="1"/>
  <c r="AB37" i="3"/>
  <c r="AA37" i="3"/>
  <c r="Z37" i="3"/>
  <c r="Y37" i="3"/>
  <c r="X37" i="3"/>
  <c r="W37" i="3"/>
  <c r="V37" i="3"/>
  <c r="U37" i="3"/>
  <c r="T37" i="3"/>
  <c r="D37" i="3"/>
  <c r="E45" i="3" s="1"/>
  <c r="AQ36" i="3"/>
  <c r="AP36" i="3"/>
  <c r="AO36" i="3"/>
  <c r="AN36" i="3"/>
  <c r="BB36" i="3" s="1"/>
  <c r="AM36" i="3"/>
  <c r="AL36" i="3"/>
  <c r="AZ36" i="3" s="1"/>
  <c r="AK36" i="3"/>
  <c r="AJ36" i="3"/>
  <c r="AX36" i="3" s="1"/>
  <c r="AI36" i="3"/>
  <c r="AH36" i="3"/>
  <c r="AH45" i="3" s="1"/>
  <c r="AB36" i="3"/>
  <c r="AA36" i="3"/>
  <c r="Z36" i="3"/>
  <c r="Y36" i="3"/>
  <c r="X36" i="3"/>
  <c r="W36" i="3"/>
  <c r="V36" i="3"/>
  <c r="U36" i="3"/>
  <c r="T36" i="3"/>
  <c r="D36" i="3"/>
  <c r="E44" i="3" s="1"/>
  <c r="AQ35" i="3"/>
  <c r="AP35" i="3"/>
  <c r="BD35" i="3" s="1"/>
  <c r="AO35" i="3"/>
  <c r="AN35" i="3"/>
  <c r="AM35" i="3"/>
  <c r="AL35" i="3"/>
  <c r="AZ35" i="3" s="1"/>
  <c r="AK35" i="3"/>
  <c r="AJ35" i="3"/>
  <c r="AX35" i="3" s="1"/>
  <c r="AI35" i="3"/>
  <c r="AH35" i="3"/>
  <c r="AH44" i="3" s="1"/>
  <c r="AB35" i="3"/>
  <c r="AA35" i="3"/>
  <c r="Z35" i="3"/>
  <c r="Y35" i="3"/>
  <c r="X35" i="3"/>
  <c r="W35" i="3"/>
  <c r="V35" i="3"/>
  <c r="U35" i="3"/>
  <c r="T35" i="3"/>
  <c r="S35" i="3"/>
  <c r="D35" i="3"/>
  <c r="E43" i="3" s="1"/>
  <c r="AQ34" i="3"/>
  <c r="AQ43" i="3" s="1"/>
  <c r="AP34" i="3"/>
  <c r="AP43" i="3" s="1"/>
  <c r="AO34" i="3"/>
  <c r="AO43" i="3" s="1"/>
  <c r="AN34" i="3"/>
  <c r="AN43" i="3" s="1"/>
  <c r="AM34" i="3"/>
  <c r="AM43" i="3" s="1"/>
  <c r="AL34" i="3"/>
  <c r="AL43" i="3" s="1"/>
  <c r="AK34" i="3"/>
  <c r="AK43" i="3" s="1"/>
  <c r="AJ34" i="3"/>
  <c r="AJ43" i="3" s="1"/>
  <c r="AI34" i="3"/>
  <c r="AI43" i="3" s="1"/>
  <c r="Z34" i="3"/>
  <c r="X34" i="3"/>
  <c r="D34" i="3"/>
  <c r="D33" i="3"/>
  <c r="E41" i="3" s="1"/>
  <c r="D32" i="3"/>
  <c r="E40" i="3" s="1"/>
  <c r="N31" i="3"/>
  <c r="N39" i="3" s="1"/>
  <c r="M31" i="3"/>
  <c r="M39" i="3" s="1"/>
  <c r="L31" i="3"/>
  <c r="L39" i="3" s="1"/>
  <c r="K31" i="3"/>
  <c r="J31" i="3"/>
  <c r="J39" i="3" s="1"/>
  <c r="I31" i="3"/>
  <c r="H31" i="3"/>
  <c r="H39" i="3" s="1"/>
  <c r="G31" i="3"/>
  <c r="G39" i="3" s="1"/>
  <c r="F31" i="3"/>
  <c r="F39" i="3" s="1"/>
  <c r="BE27" i="3"/>
  <c r="BB27" i="3"/>
  <c r="AZ27" i="3"/>
  <c r="AW27" i="3"/>
  <c r="AC27" i="3"/>
  <c r="AB27" i="3"/>
  <c r="BD27" i="3" s="1"/>
  <c r="AA27" i="3"/>
  <c r="BC27" i="3" s="1"/>
  <c r="Z27" i="3"/>
  <c r="Y27" i="3"/>
  <c r="BA27" i="3" s="1"/>
  <c r="X27" i="3"/>
  <c r="W27" i="3"/>
  <c r="AY27" i="3" s="1"/>
  <c r="V27" i="3"/>
  <c r="AX27" i="3" s="1"/>
  <c r="U27" i="3"/>
  <c r="S27" i="3"/>
  <c r="S40" i="3" s="1"/>
  <c r="D27" i="3"/>
  <c r="BD26" i="3"/>
  <c r="BA26" i="3"/>
  <c r="AX26" i="3"/>
  <c r="AC26" i="3"/>
  <c r="BE26" i="3" s="1"/>
  <c r="AB26" i="3"/>
  <c r="AA26" i="3"/>
  <c r="BC26" i="3" s="1"/>
  <c r="Z26" i="3"/>
  <c r="BB26" i="3" s="1"/>
  <c r="Y26" i="3"/>
  <c r="X26" i="3"/>
  <c r="AZ26" i="3" s="1"/>
  <c r="W26" i="3"/>
  <c r="AY26" i="3" s="1"/>
  <c r="V26" i="3"/>
  <c r="U26" i="3"/>
  <c r="AW26" i="3" s="1"/>
  <c r="S26" i="3"/>
  <c r="S39" i="3" s="1"/>
  <c r="D26" i="3"/>
  <c r="BE25" i="3"/>
  <c r="BB25" i="3"/>
  <c r="AZ25" i="3"/>
  <c r="AW25" i="3"/>
  <c r="AC25" i="3"/>
  <c r="AB25" i="3"/>
  <c r="BD25" i="3" s="1"/>
  <c r="AA25" i="3"/>
  <c r="BC25" i="3" s="1"/>
  <c r="Z25" i="3"/>
  <c r="Y25" i="3"/>
  <c r="BA25" i="3" s="1"/>
  <c r="X25" i="3"/>
  <c r="W25" i="3"/>
  <c r="AY25" i="3" s="1"/>
  <c r="V25" i="3"/>
  <c r="AX25" i="3" s="1"/>
  <c r="U25" i="3"/>
  <c r="S25" i="3"/>
  <c r="S38" i="3" s="1"/>
  <c r="D25" i="3"/>
  <c r="BD24" i="3"/>
  <c r="BA24" i="3"/>
  <c r="AX24" i="3"/>
  <c r="AC24" i="3"/>
  <c r="BE24" i="3" s="1"/>
  <c r="AB24" i="3"/>
  <c r="AA24" i="3"/>
  <c r="BC24" i="3" s="1"/>
  <c r="Z24" i="3"/>
  <c r="BB24" i="3" s="1"/>
  <c r="Y24" i="3"/>
  <c r="X24" i="3"/>
  <c r="AZ24" i="3" s="1"/>
  <c r="W24" i="3"/>
  <c r="AY24" i="3" s="1"/>
  <c r="V24" i="3"/>
  <c r="U24" i="3"/>
  <c r="AW24" i="3" s="1"/>
  <c r="S24" i="3"/>
  <c r="S37" i="3" s="1"/>
  <c r="D24" i="3"/>
  <c r="BE23" i="3"/>
  <c r="BB23" i="3"/>
  <c r="AZ23" i="3"/>
  <c r="AW23" i="3"/>
  <c r="AC23" i="3"/>
  <c r="AB23" i="3"/>
  <c r="BD23" i="3" s="1"/>
  <c r="AA23" i="3"/>
  <c r="BC23" i="3" s="1"/>
  <c r="Z23" i="3"/>
  <c r="Y23" i="3"/>
  <c r="BA23" i="3" s="1"/>
  <c r="X23" i="3"/>
  <c r="W23" i="3"/>
  <c r="AY23" i="3" s="1"/>
  <c r="V23" i="3"/>
  <c r="AX23" i="3" s="1"/>
  <c r="U23" i="3"/>
  <c r="S23" i="3"/>
  <c r="S36" i="3" s="1"/>
  <c r="D23" i="3"/>
  <c r="BD22" i="3"/>
  <c r="BA22" i="3"/>
  <c r="AX22" i="3"/>
  <c r="AC22" i="3"/>
  <c r="BE22" i="3" s="1"/>
  <c r="AB22" i="3"/>
  <c r="AA22" i="3"/>
  <c r="BC22" i="3" s="1"/>
  <c r="Z22" i="3"/>
  <c r="BB22" i="3" s="1"/>
  <c r="Y22" i="3"/>
  <c r="X22" i="3"/>
  <c r="AZ22" i="3" s="1"/>
  <c r="W22" i="3"/>
  <c r="AY22" i="3" s="1"/>
  <c r="V22" i="3"/>
  <c r="U22" i="3"/>
  <c r="AW22" i="3" s="1"/>
  <c r="S22" i="3"/>
  <c r="D22" i="3"/>
  <c r="AC21" i="3"/>
  <c r="AB34" i="3" s="1"/>
  <c r="AB21" i="3"/>
  <c r="AA34" i="3" s="1"/>
  <c r="AA21" i="3"/>
  <c r="Z21" i="3"/>
  <c r="Y34" i="3" s="1"/>
  <c r="Y21" i="3"/>
  <c r="X21" i="3"/>
  <c r="W34" i="3" s="1"/>
  <c r="W21" i="3"/>
  <c r="V34" i="3" s="1"/>
  <c r="V21" i="3"/>
  <c r="U34" i="3" s="1"/>
  <c r="U21" i="3"/>
  <c r="T34" i="3" s="1"/>
  <c r="N21" i="3"/>
  <c r="M21" i="3"/>
  <c r="L21" i="3"/>
  <c r="K21" i="3"/>
  <c r="J21" i="3"/>
  <c r="I21" i="3"/>
  <c r="H21" i="3"/>
  <c r="G21" i="3"/>
  <c r="F21" i="3"/>
  <c r="AZ38" i="3" l="1"/>
  <c r="AZ40" i="3"/>
  <c r="AX37" i="3"/>
  <c r="AZ39" i="3"/>
  <c r="AW37" i="3"/>
  <c r="BE37" i="3"/>
  <c r="BB38" i="3"/>
  <c r="BB39" i="3"/>
  <c r="BB40" i="3"/>
  <c r="BC36" i="3"/>
  <c r="AY37" i="3"/>
  <c r="BA35" i="3"/>
  <c r="BD36" i="3"/>
  <c r="BB35" i="3"/>
  <c r="AW36" i="3"/>
  <c r="BE36" i="3"/>
  <c r="AX39" i="3"/>
  <c r="BC35" i="3"/>
  <c r="BD40" i="3"/>
  <c r="AX35" i="4"/>
  <c r="BA35" i="4"/>
  <c r="BC36" i="4"/>
  <c r="BD37" i="4"/>
  <c r="AY38" i="4"/>
  <c r="AZ39" i="4"/>
  <c r="BB40" i="4"/>
  <c r="AW37" i="4"/>
  <c r="BE37" i="4"/>
  <c r="AZ38" i="4"/>
  <c r="BA39" i="4"/>
  <c r="BC40" i="4"/>
  <c r="AW35" i="3"/>
  <c r="BE35" i="3"/>
  <c r="AY36" i="3"/>
  <c r="BA37" i="3"/>
  <c r="BD38" i="3"/>
  <c r="BC39" i="3"/>
  <c r="AW40" i="3"/>
  <c r="BE40" i="3"/>
  <c r="BD39" i="3"/>
  <c r="AX40" i="3"/>
  <c r="AY35" i="3"/>
  <c r="BA36" i="3"/>
  <c r="BC37" i="3"/>
  <c r="AX38" i="3"/>
</calcChain>
</file>

<file path=xl/sharedStrings.xml><?xml version="1.0" encoding="utf-8"?>
<sst xmlns="http://schemas.openxmlformats.org/spreadsheetml/2006/main" count="226" uniqueCount="29">
  <si>
    <t>initial pattern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</si>
  <si>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</si>
  <si>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</si>
  <si>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</si>
  <si>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</si>
  <si>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</si>
  <si>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</si>
  <si>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</si>
  <si>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</si>
  <si>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</si>
  <si>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seted shift</t>
  </si>
  <si>
    <t>gr1</t>
  </si>
  <si>
    <t>gr2</t>
  </si>
  <si>
    <t>gr3</t>
  </si>
  <si>
    <t>gr4</t>
  </si>
  <si>
    <t>gr5</t>
  </si>
  <si>
    <t>gr6</t>
  </si>
  <si>
    <t>system shift</t>
  </si>
  <si>
    <t>put me in data</t>
  </si>
  <si>
    <t>data</t>
  </si>
  <si>
    <t>REL, log2 scale</t>
  </si>
  <si>
    <t>put me in plan</t>
  </si>
  <si>
    <t>data0</t>
  </si>
  <si>
    <t>inputed pattern</t>
  </si>
  <si>
    <t>result</t>
  </si>
  <si>
    <t>data1</t>
  </si>
  <si>
    <t>all</t>
  </si>
  <si>
    <t>nd</t>
  </si>
  <si>
    <t>put me in ucertainties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</si>
</sst>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Fill="1"/>
    <xf numFmtId="0" fontId="2" fillId="2" borderId="0" xfId="0" applyFont="1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6" xfId="0" applyFill="1" applyBorder="1"/>
    <xf numFmtId="0" fontId="0" fillId="3" borderId="0" xfId="0" applyFill="1" applyAlignment="1">
      <alignment horizontal="right"/>
    </xf>
    <xf numFmtId="0" fontId="0" fillId="2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F50"/>
  <sheetViews>
    <sheetView tabSelected="1" topLeftCell="A19" zoomScale="55" zoomScaleNormal="55" workbookViewId="0">
      <selection activeCell="AV36" sqref="AV36"/>
    </sheetView>
  </sheetViews>
  <sheetFormatPr defaultColWidth="5.7109375" defaultRowHeight="24.95" customHeight="1" x14ac:dyDescent="0.25"/>
  <sheetData>
    <row r="4" spans="2:58" ht="24.95" customHeight="1" x14ac:dyDescent="0.25">
      <c r="H4">
        <v>0</v>
      </c>
      <c r="I4">
        <v>50</v>
      </c>
    </row>
    <row r="5" spans="2:58" ht="24.9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2:58" ht="24.9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2:58" ht="24.95" customHeight="1" x14ac:dyDescent="0.5">
      <c r="B7" s="1"/>
      <c r="C7" s="1"/>
      <c r="D7" s="1"/>
      <c r="E7" s="1"/>
      <c r="F7" s="1"/>
      <c r="G7" s="2" t="s">
        <v>0</v>
      </c>
      <c r="H7" s="3" t="s">
        <v>1</v>
      </c>
      <c r="I7" s="3" t="s">
        <v>2</v>
      </c>
      <c r="J7" s="3" t="s">
        <v>3</v>
      </c>
      <c r="K7" s="3" t="s">
        <v>4</v>
      </c>
      <c r="L7" s="3" t="s">
        <v>5</v>
      </c>
      <c r="M7" s="3" t="s">
        <v>6</v>
      </c>
      <c r="N7" s="3" t="s">
        <v>7</v>
      </c>
      <c r="O7" s="3" t="s">
        <v>8</v>
      </c>
      <c r="P7" s="3" t="s">
        <v>9</v>
      </c>
      <c r="Q7" s="1"/>
      <c r="R7" s="1"/>
      <c r="S7" s="1"/>
      <c r="T7" s="1"/>
      <c r="U7" s="1"/>
      <c r="V7" s="2" t="s">
        <v>10</v>
      </c>
      <c r="W7" s="3" t="s">
        <v>1</v>
      </c>
      <c r="X7" s="3" t="s">
        <v>2</v>
      </c>
      <c r="Y7" s="3" t="s">
        <v>3</v>
      </c>
      <c r="Z7" s="3" t="s">
        <v>4</v>
      </c>
      <c r="AA7" s="3" t="s">
        <v>5</v>
      </c>
      <c r="AB7" s="3" t="s">
        <v>6</v>
      </c>
      <c r="AC7" s="3" t="s">
        <v>7</v>
      </c>
      <c r="AD7" s="3" t="s">
        <v>8</v>
      </c>
      <c r="AE7" s="3" t="s">
        <v>9</v>
      </c>
      <c r="AF7" s="1"/>
      <c r="AG7" s="1"/>
      <c r="AH7" s="1"/>
      <c r="AI7" s="2" t="s">
        <v>10</v>
      </c>
      <c r="AJ7" s="1" t="s">
        <v>1</v>
      </c>
      <c r="AK7" s="1" t="s">
        <v>2</v>
      </c>
      <c r="AL7" s="1" t="s">
        <v>3</v>
      </c>
      <c r="AM7" s="1" t="s">
        <v>4</v>
      </c>
      <c r="AN7" s="1" t="s">
        <v>5</v>
      </c>
      <c r="AO7" s="1" t="s">
        <v>6</v>
      </c>
      <c r="AP7" s="1" t="s">
        <v>7</v>
      </c>
      <c r="AQ7" s="1" t="s">
        <v>8</v>
      </c>
      <c r="AR7" s="1" t="s">
        <v>9</v>
      </c>
      <c r="AS7" s="1"/>
      <c r="AT7" s="1"/>
      <c r="AU7" s="1"/>
      <c r="AV7" s="2" t="s">
        <v>10</v>
      </c>
      <c r="AW7" s="1" t="s">
        <v>1</v>
      </c>
      <c r="AX7" s="1" t="s">
        <v>2</v>
      </c>
      <c r="AY7" s="1" t="s">
        <v>3</v>
      </c>
      <c r="AZ7" s="1" t="s">
        <v>4</v>
      </c>
      <c r="BA7" s="1" t="s">
        <v>5</v>
      </c>
      <c r="BB7" s="1" t="s">
        <v>6</v>
      </c>
      <c r="BC7" s="1" t="s">
        <v>7</v>
      </c>
      <c r="BD7" s="1" t="s">
        <v>8</v>
      </c>
      <c r="BE7" s="1" t="s">
        <v>9</v>
      </c>
      <c r="BF7" s="1"/>
    </row>
    <row r="8" spans="2:58" ht="24.95" customHeight="1" x14ac:dyDescent="0.25">
      <c r="B8" s="1"/>
      <c r="C8" s="1"/>
      <c r="D8" s="1"/>
      <c r="E8" s="1"/>
      <c r="F8" s="1"/>
      <c r="G8" s="1" t="s">
        <v>11</v>
      </c>
      <c r="H8" s="3">
        <v>1</v>
      </c>
      <c r="I8" s="3">
        <v>5</v>
      </c>
      <c r="J8" s="3">
        <v>7</v>
      </c>
      <c r="K8" s="3">
        <v>3</v>
      </c>
      <c r="L8" s="3">
        <v>1</v>
      </c>
      <c r="M8" s="3">
        <v>4</v>
      </c>
      <c r="N8" s="3">
        <v>8</v>
      </c>
      <c r="O8" s="3">
        <v>2</v>
      </c>
      <c r="P8" s="3">
        <v>8</v>
      </c>
      <c r="Q8" s="1"/>
      <c r="R8" s="3">
        <v>11</v>
      </c>
      <c r="S8" s="1"/>
      <c r="T8" s="1"/>
      <c r="U8" s="1"/>
      <c r="V8" s="1" t="s">
        <v>11</v>
      </c>
      <c r="W8" s="3">
        <v>12</v>
      </c>
      <c r="X8" s="3">
        <v>8</v>
      </c>
      <c r="Y8" s="3">
        <v>0</v>
      </c>
      <c r="Z8" s="3">
        <v>0</v>
      </c>
      <c r="AA8" s="3">
        <v>0</v>
      </c>
      <c r="AB8" s="3">
        <v>0</v>
      </c>
      <c r="AC8" s="3">
        <v>0.26</v>
      </c>
      <c r="AD8" s="3">
        <v>0.2</v>
      </c>
      <c r="AE8" s="3">
        <v>-0.12</v>
      </c>
      <c r="AF8" s="1"/>
      <c r="AG8" s="1"/>
      <c r="AH8" s="1"/>
      <c r="AI8" s="1" t="s">
        <v>11</v>
      </c>
      <c r="AJ8" s="3">
        <v>0</v>
      </c>
      <c r="AK8" s="3">
        <v>0</v>
      </c>
      <c r="AL8" s="3">
        <v>3</v>
      </c>
      <c r="AM8" s="3">
        <v>3</v>
      </c>
      <c r="AN8" s="3">
        <v>3</v>
      </c>
      <c r="AO8" s="3">
        <v>3</v>
      </c>
      <c r="AP8" s="3">
        <v>0</v>
      </c>
      <c r="AQ8" s="3">
        <v>0</v>
      </c>
      <c r="AR8" s="3">
        <v>0</v>
      </c>
      <c r="AS8" s="1"/>
      <c r="AT8" s="1"/>
      <c r="AU8" s="1"/>
      <c r="AV8" s="1" t="s">
        <v>11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1"/>
    </row>
    <row r="9" spans="2:58" ht="24.95" customHeight="1" x14ac:dyDescent="0.25">
      <c r="B9" s="1"/>
      <c r="C9" s="1"/>
      <c r="D9" s="1"/>
      <c r="E9" s="1"/>
      <c r="F9" s="1"/>
      <c r="G9" s="1" t="s">
        <v>12</v>
      </c>
      <c r="H9" s="3">
        <v>1</v>
      </c>
      <c r="I9" s="3">
        <v>5</v>
      </c>
      <c r="J9" s="3">
        <v>7</v>
      </c>
      <c r="K9" s="3">
        <v>3</v>
      </c>
      <c r="L9" s="3">
        <v>1</v>
      </c>
      <c r="M9" s="3">
        <v>4</v>
      </c>
      <c r="N9" s="3">
        <v>8</v>
      </c>
      <c r="O9" s="3">
        <v>2</v>
      </c>
      <c r="P9" s="3">
        <v>8</v>
      </c>
      <c r="Q9" s="1"/>
      <c r="R9" s="3">
        <v>4</v>
      </c>
      <c r="S9" s="1"/>
      <c r="T9" s="1"/>
      <c r="U9" s="1"/>
      <c r="V9" s="1" t="s">
        <v>12</v>
      </c>
      <c r="W9" s="3">
        <v>15</v>
      </c>
      <c r="X9" s="3">
        <v>-7</v>
      </c>
      <c r="Y9" s="3">
        <v>0</v>
      </c>
      <c r="Z9" s="3">
        <v>0.19999999999999929</v>
      </c>
      <c r="AA9" s="3">
        <v>-0.20000000000000018</v>
      </c>
      <c r="AB9" s="3">
        <v>0.23000000000000043</v>
      </c>
      <c r="AC9" s="3">
        <v>0</v>
      </c>
      <c r="AD9" s="3">
        <v>0.3</v>
      </c>
      <c r="AE9" s="3">
        <v>-5.0999999999999996</v>
      </c>
      <c r="AF9" s="1"/>
      <c r="AG9" s="1"/>
      <c r="AH9" s="1"/>
      <c r="AI9" s="1" t="s">
        <v>12</v>
      </c>
      <c r="AJ9" s="3">
        <v>0</v>
      </c>
      <c r="AK9" s="3">
        <v>0</v>
      </c>
      <c r="AL9" s="3">
        <v>5</v>
      </c>
      <c r="AM9" s="3">
        <v>5</v>
      </c>
      <c r="AN9" s="3">
        <v>5</v>
      </c>
      <c r="AO9" s="3">
        <v>5</v>
      </c>
      <c r="AP9" s="3">
        <v>0</v>
      </c>
      <c r="AQ9" s="3">
        <v>0</v>
      </c>
      <c r="AR9" s="3">
        <v>0</v>
      </c>
      <c r="AS9" s="1"/>
      <c r="AT9" s="1"/>
      <c r="AU9" s="1"/>
      <c r="AV9" s="1" t="s">
        <v>12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1"/>
    </row>
    <row r="10" spans="2:58" ht="24.95" customHeight="1" x14ac:dyDescent="0.25">
      <c r="B10" s="1"/>
      <c r="C10" s="1"/>
      <c r="D10" s="1"/>
      <c r="E10" s="1"/>
      <c r="F10" s="1"/>
      <c r="G10" s="1" t="s">
        <v>13</v>
      </c>
      <c r="H10" s="3">
        <v>1</v>
      </c>
      <c r="I10" s="3">
        <v>5</v>
      </c>
      <c r="J10" s="3">
        <v>7</v>
      </c>
      <c r="K10" s="3">
        <v>3</v>
      </c>
      <c r="L10" s="3">
        <v>1</v>
      </c>
      <c r="M10" s="3">
        <v>4</v>
      </c>
      <c r="N10" s="3">
        <v>8</v>
      </c>
      <c r="O10" s="3">
        <v>2</v>
      </c>
      <c r="P10" s="3">
        <v>8</v>
      </c>
      <c r="Q10" s="1"/>
      <c r="R10" s="3">
        <v>20</v>
      </c>
      <c r="S10" s="1"/>
      <c r="T10" s="1"/>
      <c r="U10" s="1"/>
      <c r="V10" s="1" t="s">
        <v>13</v>
      </c>
      <c r="W10" s="3">
        <v>-5</v>
      </c>
      <c r="X10" s="3">
        <v>17</v>
      </c>
      <c r="Y10" s="3">
        <v>0</v>
      </c>
      <c r="Z10" s="3">
        <v>0.25999999999999979</v>
      </c>
      <c r="AA10" s="3">
        <v>-0.30000000000000071</v>
      </c>
      <c r="AB10" s="3">
        <v>-0.10000000000000009</v>
      </c>
      <c r="AC10" s="3">
        <v>3.9</v>
      </c>
      <c r="AD10" s="3">
        <v>0.23</v>
      </c>
      <c r="AE10" s="3">
        <v>-0.16</v>
      </c>
      <c r="AF10" s="1"/>
      <c r="AG10" s="1"/>
      <c r="AH10" s="1"/>
      <c r="AI10" s="1" t="s">
        <v>13</v>
      </c>
      <c r="AJ10" s="3">
        <v>0</v>
      </c>
      <c r="AK10" s="3">
        <v>0</v>
      </c>
      <c r="AL10" s="3">
        <v>2</v>
      </c>
      <c r="AM10" s="3">
        <v>2</v>
      </c>
      <c r="AN10" s="3">
        <v>2</v>
      </c>
      <c r="AO10" s="3">
        <v>2</v>
      </c>
      <c r="AP10" s="3">
        <v>0</v>
      </c>
      <c r="AQ10" s="3">
        <v>0</v>
      </c>
      <c r="AR10" s="3">
        <v>0</v>
      </c>
      <c r="AS10" s="1"/>
      <c r="AT10" s="1"/>
      <c r="AU10" s="1"/>
      <c r="AV10" s="1" t="s">
        <v>13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1"/>
    </row>
    <row r="11" spans="2:58" ht="24.95" customHeight="1" x14ac:dyDescent="0.25">
      <c r="B11" s="1"/>
      <c r="C11" s="1"/>
      <c r="D11" s="1"/>
      <c r="E11" s="1"/>
      <c r="F11" s="1"/>
      <c r="G11" s="1" t="s">
        <v>14</v>
      </c>
      <c r="H11" s="3">
        <v>1</v>
      </c>
      <c r="I11" s="3">
        <v>5</v>
      </c>
      <c r="J11" s="3">
        <v>7</v>
      </c>
      <c r="K11" s="3">
        <v>3</v>
      </c>
      <c r="L11" s="3">
        <v>1</v>
      </c>
      <c r="M11" s="3">
        <v>4</v>
      </c>
      <c r="N11" s="3">
        <v>8</v>
      </c>
      <c r="O11" s="3">
        <v>2</v>
      </c>
      <c r="P11" s="3">
        <v>8</v>
      </c>
      <c r="Q11" s="1"/>
      <c r="R11" s="3">
        <v>35</v>
      </c>
      <c r="S11" s="1"/>
      <c r="T11" s="1"/>
      <c r="U11" s="1"/>
      <c r="V11" s="1" t="s">
        <v>14</v>
      </c>
      <c r="W11" s="3">
        <v>4</v>
      </c>
      <c r="X11" s="3">
        <v>22</v>
      </c>
      <c r="Y11" s="3">
        <v>0</v>
      </c>
      <c r="Z11" s="3">
        <v>-0.36000000000000032</v>
      </c>
      <c r="AA11" s="3">
        <v>-0.23000000000000043</v>
      </c>
      <c r="AB11" s="3">
        <v>-1.9999999999999574E-2</v>
      </c>
      <c r="AC11" s="3">
        <v>0.01</v>
      </c>
      <c r="AD11" s="3">
        <v>9.08</v>
      </c>
      <c r="AE11" s="3">
        <v>0.25</v>
      </c>
      <c r="AF11" s="1"/>
      <c r="AG11" s="1"/>
      <c r="AH11" s="1"/>
      <c r="AI11" s="1" t="s">
        <v>14</v>
      </c>
      <c r="AJ11" s="3">
        <v>0</v>
      </c>
      <c r="AK11" s="3">
        <v>0</v>
      </c>
      <c r="AL11" s="3">
        <v>8</v>
      </c>
      <c r="AM11" s="3">
        <v>8</v>
      </c>
      <c r="AN11" s="3">
        <v>8</v>
      </c>
      <c r="AO11" s="3">
        <v>8</v>
      </c>
      <c r="AP11" s="3">
        <v>0</v>
      </c>
      <c r="AQ11" s="3">
        <v>0</v>
      </c>
      <c r="AR11" s="3">
        <v>0</v>
      </c>
      <c r="AS11" s="1"/>
      <c r="AT11" s="1"/>
      <c r="AU11" s="1"/>
      <c r="AV11" s="1" t="s">
        <v>14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1"/>
    </row>
    <row r="12" spans="2:58" ht="24.95" customHeight="1" x14ac:dyDescent="0.25">
      <c r="B12" s="1"/>
      <c r="C12" s="1"/>
      <c r="D12" s="1"/>
      <c r="E12" s="1"/>
      <c r="F12" s="1"/>
      <c r="G12" s="1" t="s">
        <v>15</v>
      </c>
      <c r="H12" s="3">
        <v>1</v>
      </c>
      <c r="I12" s="3">
        <v>5</v>
      </c>
      <c r="J12" s="3">
        <v>7</v>
      </c>
      <c r="K12" s="3">
        <v>3</v>
      </c>
      <c r="L12" s="3">
        <v>1</v>
      </c>
      <c r="M12" s="3">
        <v>4</v>
      </c>
      <c r="N12" s="3">
        <v>8</v>
      </c>
      <c r="O12" s="3">
        <v>2</v>
      </c>
      <c r="P12" s="3">
        <v>8</v>
      </c>
      <c r="Q12" s="1"/>
      <c r="R12" s="3">
        <v>15</v>
      </c>
      <c r="S12" s="1"/>
      <c r="T12" s="1"/>
      <c r="U12" s="1"/>
      <c r="V12" s="1" t="s">
        <v>15</v>
      </c>
      <c r="W12" s="3">
        <v>-15</v>
      </c>
      <c r="X12" s="3">
        <v>-9</v>
      </c>
      <c r="Y12" s="3">
        <v>0</v>
      </c>
      <c r="Z12" s="3">
        <v>0.44999999999999929</v>
      </c>
      <c r="AA12" s="3">
        <v>-0.24000000000000021</v>
      </c>
      <c r="AB12" s="3">
        <v>1.0000000000000009E-2</v>
      </c>
      <c r="AC12" s="3">
        <v>0.08</v>
      </c>
      <c r="AD12" s="3">
        <v>0.3</v>
      </c>
      <c r="AE12" s="3">
        <v>3.12</v>
      </c>
      <c r="AF12" s="1"/>
      <c r="AG12" s="1"/>
      <c r="AH12" s="1"/>
      <c r="AI12" s="1" t="s">
        <v>15</v>
      </c>
      <c r="AJ12" s="3">
        <v>0</v>
      </c>
      <c r="AK12" s="3">
        <v>0</v>
      </c>
      <c r="AL12" s="3">
        <v>0.5</v>
      </c>
      <c r="AM12" s="3">
        <v>0.5</v>
      </c>
      <c r="AN12" s="3">
        <v>0.5</v>
      </c>
      <c r="AO12" s="3">
        <v>0.5</v>
      </c>
      <c r="AP12" s="3">
        <v>0</v>
      </c>
      <c r="AQ12" s="3">
        <v>0</v>
      </c>
      <c r="AR12" s="3">
        <v>0</v>
      </c>
      <c r="AS12" s="1"/>
      <c r="AT12" s="1"/>
      <c r="AU12" s="1"/>
      <c r="AV12" s="1" t="s">
        <v>15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1"/>
    </row>
    <row r="13" spans="2:58" ht="24.95" customHeight="1" x14ac:dyDescent="0.25">
      <c r="B13" s="1"/>
      <c r="C13" s="1"/>
      <c r="D13" s="1"/>
      <c r="E13" s="1"/>
      <c r="F13" s="1"/>
      <c r="G13" s="1" t="s">
        <v>16</v>
      </c>
      <c r="H13" s="3">
        <v>1</v>
      </c>
      <c r="I13" s="3">
        <v>5</v>
      </c>
      <c r="J13" s="3">
        <v>7</v>
      </c>
      <c r="K13" s="3">
        <v>3</v>
      </c>
      <c r="L13" s="3">
        <v>1</v>
      </c>
      <c r="M13" s="3">
        <v>4</v>
      </c>
      <c r="N13" s="3">
        <v>8</v>
      </c>
      <c r="O13" s="3">
        <v>2</v>
      </c>
      <c r="P13" s="3">
        <v>8</v>
      </c>
      <c r="Q13" s="1"/>
      <c r="R13" s="3">
        <v>9</v>
      </c>
      <c r="S13" s="1"/>
      <c r="T13" s="1"/>
      <c r="U13" s="1"/>
      <c r="V13" s="1" t="s">
        <v>16</v>
      </c>
      <c r="W13" s="3">
        <v>6.5</v>
      </c>
      <c r="X13" s="3">
        <v>8</v>
      </c>
      <c r="Y13" s="3">
        <v>0</v>
      </c>
      <c r="Z13" s="3">
        <v>8.0000000000000071E-2</v>
      </c>
      <c r="AA13" s="3">
        <v>-0.30000000000000071</v>
      </c>
      <c r="AB13" s="3">
        <v>0.59999999999999964</v>
      </c>
      <c r="AC13" s="3">
        <v>0.12</v>
      </c>
      <c r="AD13" s="3">
        <v>0.04</v>
      </c>
      <c r="AE13" s="3">
        <v>0.2</v>
      </c>
      <c r="AF13" s="1"/>
      <c r="AG13" s="1"/>
      <c r="AH13" s="1"/>
      <c r="AI13" s="1" t="s">
        <v>16</v>
      </c>
      <c r="AJ13" s="3">
        <v>0</v>
      </c>
      <c r="AK13" s="3">
        <v>0</v>
      </c>
      <c r="AL13" s="3">
        <v>12</v>
      </c>
      <c r="AM13" s="3">
        <v>12</v>
      </c>
      <c r="AN13" s="3">
        <v>12</v>
      </c>
      <c r="AO13" s="3">
        <v>12</v>
      </c>
      <c r="AP13" s="3">
        <v>0</v>
      </c>
      <c r="AQ13" s="3">
        <v>0</v>
      </c>
      <c r="AR13" s="3">
        <v>0</v>
      </c>
      <c r="AS13" s="1"/>
      <c r="AT13" s="1"/>
      <c r="AU13" s="1"/>
      <c r="AV13" s="1" t="s">
        <v>16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1"/>
    </row>
    <row r="14" spans="2:58" ht="24.95" customHeight="1" x14ac:dyDescent="0.5">
      <c r="B14" s="1"/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1"/>
      <c r="P14" s="1"/>
      <c r="Q14" s="1"/>
      <c r="R14" s="2" t="s">
        <v>17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2:58" ht="24.9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9" spans="3:57" ht="24.95" customHeight="1" x14ac:dyDescent="0.25"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3:57" ht="24.95" customHeight="1" thickBot="1" x14ac:dyDescent="0.4">
      <c r="C20" s="1"/>
      <c r="D20" s="5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R20" s="1"/>
      <c r="S20" s="5" t="s">
        <v>18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4"/>
      <c r="AU20" s="4"/>
      <c r="AV20" s="4"/>
    </row>
    <row r="21" spans="3:57" ht="24.95" customHeight="1" x14ac:dyDescent="0.25">
      <c r="C21" s="1"/>
      <c r="D21" s="7"/>
      <c r="E21" s="8" t="s">
        <v>19</v>
      </c>
      <c r="F21" s="8" t="str">
        <f>H7</f>
        <v>g1</v>
      </c>
      <c r="G21" s="8" t="str">
        <f t="shared" ref="G21:N21" si="0">I7</f>
        <v>g2</v>
      </c>
      <c r="H21" s="8" t="str">
        <f t="shared" si="0"/>
        <v>g3</v>
      </c>
      <c r="I21" s="8" t="str">
        <f t="shared" si="0"/>
        <v>g4</v>
      </c>
      <c r="J21" s="8" t="str">
        <f t="shared" si="0"/>
        <v>g5</v>
      </c>
      <c r="K21" s="8" t="str">
        <f t="shared" si="0"/>
        <v>g6</v>
      </c>
      <c r="L21" s="8" t="str">
        <f t="shared" si="0"/>
        <v>g7</v>
      </c>
      <c r="M21" s="8" t="str">
        <f t="shared" si="0"/>
        <v>g8</v>
      </c>
      <c r="N21" s="9" t="str">
        <f t="shared" si="0"/>
        <v>g9</v>
      </c>
      <c r="O21" s="1"/>
      <c r="R21" s="1"/>
      <c r="S21" s="7"/>
      <c r="T21" s="8" t="s">
        <v>19</v>
      </c>
      <c r="U21" s="8" t="str">
        <f t="shared" ref="U21:AC21" si="1">H7</f>
        <v>g1</v>
      </c>
      <c r="V21" s="8" t="str">
        <f t="shared" si="1"/>
        <v>g2</v>
      </c>
      <c r="W21" s="8" t="str">
        <f t="shared" si="1"/>
        <v>g3</v>
      </c>
      <c r="X21" s="8" t="str">
        <f t="shared" si="1"/>
        <v>g4</v>
      </c>
      <c r="Y21" s="8" t="str">
        <f t="shared" si="1"/>
        <v>g5</v>
      </c>
      <c r="Z21" s="8" t="str">
        <f t="shared" si="1"/>
        <v>g6</v>
      </c>
      <c r="AA21" s="8" t="str">
        <f t="shared" si="1"/>
        <v>g7</v>
      </c>
      <c r="AB21" s="8" t="str">
        <f t="shared" si="1"/>
        <v>g8</v>
      </c>
      <c r="AC21" s="9" t="str">
        <f t="shared" si="1"/>
        <v>g9</v>
      </c>
      <c r="AD21" s="1"/>
      <c r="AH21" s="6"/>
      <c r="AI21" s="10" t="s">
        <v>20</v>
      </c>
      <c r="AJ21" s="11" t="s">
        <v>1</v>
      </c>
      <c r="AK21" s="11" t="s">
        <v>2</v>
      </c>
      <c r="AL21" s="11" t="s">
        <v>3</v>
      </c>
      <c r="AM21" s="11" t="s">
        <v>4</v>
      </c>
      <c r="AN21" s="11" t="s">
        <v>5</v>
      </c>
      <c r="AO21" s="11" t="s">
        <v>6</v>
      </c>
      <c r="AP21" s="11" t="s">
        <v>7</v>
      </c>
      <c r="AQ21" s="11" t="s">
        <v>8</v>
      </c>
      <c r="AR21" s="12" t="s">
        <v>9</v>
      </c>
      <c r="AS21" s="6"/>
      <c r="AT21" s="4"/>
      <c r="AU21" s="4"/>
      <c r="AV21" s="4"/>
    </row>
    <row r="22" spans="3:57" ht="24.95" customHeight="1" x14ac:dyDescent="0.25">
      <c r="C22" s="1"/>
      <c r="D22" s="13" t="str">
        <f t="shared" ref="D22:D27" si="2">G8</f>
        <v>gr1</v>
      </c>
      <c r="E22" s="14">
        <v>1</v>
      </c>
      <c r="F22" s="15">
        <v>0.5</v>
      </c>
      <c r="G22" s="15">
        <v>0.5</v>
      </c>
      <c r="H22" s="15">
        <v>0.5</v>
      </c>
      <c r="I22" s="15">
        <v>0.5</v>
      </c>
      <c r="J22" s="15">
        <v>0.5</v>
      </c>
      <c r="K22" s="15">
        <v>0.5</v>
      </c>
      <c r="L22" s="15">
        <v>0.5</v>
      </c>
      <c r="M22" s="15">
        <v>0.5</v>
      </c>
      <c r="N22" s="16">
        <v>0.5</v>
      </c>
      <c r="O22" s="1"/>
      <c r="R22" s="1"/>
      <c r="S22" s="13" t="str">
        <f t="shared" ref="S22:S27" si="3">G8</f>
        <v>gr1</v>
      </c>
      <c r="T22" s="14">
        <v>1</v>
      </c>
      <c r="U22" s="15">
        <f t="shared" ref="U22:AC27" si="4">H8+$R8+W8+AJ8+AW8</f>
        <v>24</v>
      </c>
      <c r="V22" s="15">
        <f t="shared" si="4"/>
        <v>24</v>
      </c>
      <c r="W22" s="15">
        <f t="shared" si="4"/>
        <v>21</v>
      </c>
      <c r="X22" s="15">
        <f t="shared" si="4"/>
        <v>17</v>
      </c>
      <c r="Y22" s="15">
        <f t="shared" si="4"/>
        <v>15</v>
      </c>
      <c r="Z22" s="15">
        <f t="shared" si="4"/>
        <v>18</v>
      </c>
      <c r="AA22" s="15">
        <f t="shared" si="4"/>
        <v>19.260000000000002</v>
      </c>
      <c r="AB22" s="15">
        <f t="shared" si="4"/>
        <v>13.2</v>
      </c>
      <c r="AC22" s="16">
        <f t="shared" si="4"/>
        <v>18.88</v>
      </c>
      <c r="AD22" s="1"/>
      <c r="AH22" s="6"/>
      <c r="AI22" s="17" t="s">
        <v>11</v>
      </c>
      <c r="AJ22" s="15">
        <v>-5.0872635701119995</v>
      </c>
      <c r="AK22" s="15">
        <v>-5.1106762698121644</v>
      </c>
      <c r="AL22" s="15">
        <v>-2.0931734789537302</v>
      </c>
      <c r="AM22" s="15">
        <v>1.9051084861420693</v>
      </c>
      <c r="AN22" s="15">
        <v>3.9054110404715487</v>
      </c>
      <c r="AO22" s="15">
        <v>0.90723968485929696</v>
      </c>
      <c r="AP22" s="15">
        <v>-0.37230098712276644</v>
      </c>
      <c r="AQ22" s="15">
        <v>5.6898757942142462</v>
      </c>
      <c r="AR22" s="16">
        <v>7.1420142681442615E-3</v>
      </c>
      <c r="AS22" s="6"/>
      <c r="AT22" s="4"/>
      <c r="AU22" s="4"/>
      <c r="AV22" s="4"/>
      <c r="AW22">
        <f t="shared" ref="AW22:BE27" si="5">U22+AJ22</f>
        <v>18.912736429888</v>
      </c>
      <c r="AX22">
        <f t="shared" si="5"/>
        <v>18.889323730187837</v>
      </c>
      <c r="AY22">
        <f t="shared" si="5"/>
        <v>18.90682652104627</v>
      </c>
      <c r="AZ22">
        <f t="shared" si="5"/>
        <v>18.905108486142069</v>
      </c>
      <c r="BA22">
        <f t="shared" si="5"/>
        <v>18.905411040471549</v>
      </c>
      <c r="BB22">
        <f t="shared" si="5"/>
        <v>18.907239684859299</v>
      </c>
      <c r="BC22">
        <f t="shared" si="5"/>
        <v>18.887699012877235</v>
      </c>
      <c r="BD22">
        <f t="shared" si="5"/>
        <v>18.889875794214245</v>
      </c>
      <c r="BE22">
        <f t="shared" si="5"/>
        <v>18.887142014268143</v>
      </c>
    </row>
    <row r="23" spans="3:57" ht="24.95" customHeight="1" x14ac:dyDescent="0.25">
      <c r="C23" s="1"/>
      <c r="D23" s="13" t="str">
        <f t="shared" si="2"/>
        <v>gr2</v>
      </c>
      <c r="E23" s="14">
        <v>2</v>
      </c>
      <c r="F23" s="15">
        <v>0.5</v>
      </c>
      <c r="G23" s="15">
        <v>0.5</v>
      </c>
      <c r="H23" s="15">
        <v>0.5</v>
      </c>
      <c r="I23" s="15">
        <v>0.5</v>
      </c>
      <c r="J23" s="15">
        <v>0.5</v>
      </c>
      <c r="K23" s="15">
        <v>0.5</v>
      </c>
      <c r="L23" s="15">
        <v>0.5</v>
      </c>
      <c r="M23" s="15">
        <v>0.5</v>
      </c>
      <c r="N23" s="16">
        <v>0.5</v>
      </c>
      <c r="O23" s="1"/>
      <c r="R23" s="1"/>
      <c r="S23" s="13" t="str">
        <f t="shared" si="3"/>
        <v>gr2</v>
      </c>
      <c r="T23" s="14">
        <v>2</v>
      </c>
      <c r="U23" s="15">
        <f t="shared" si="4"/>
        <v>20</v>
      </c>
      <c r="V23" s="15">
        <f t="shared" si="4"/>
        <v>2</v>
      </c>
      <c r="W23" s="15">
        <f t="shared" si="4"/>
        <v>16</v>
      </c>
      <c r="X23" s="15">
        <f t="shared" si="4"/>
        <v>12.2</v>
      </c>
      <c r="Y23" s="15">
        <f t="shared" si="4"/>
        <v>9.8000000000000007</v>
      </c>
      <c r="Z23" s="15">
        <f t="shared" si="4"/>
        <v>13.23</v>
      </c>
      <c r="AA23" s="15">
        <f t="shared" si="4"/>
        <v>12</v>
      </c>
      <c r="AB23" s="15">
        <f t="shared" si="4"/>
        <v>6.3</v>
      </c>
      <c r="AC23" s="16">
        <f t="shared" si="4"/>
        <v>6.9</v>
      </c>
      <c r="AD23" s="1"/>
      <c r="AH23" s="6"/>
      <c r="AI23" s="17" t="s">
        <v>12</v>
      </c>
      <c r="AJ23" s="15">
        <v>-8.2263303744765039</v>
      </c>
      <c r="AK23" s="15">
        <v>9.6719919554123717</v>
      </c>
      <c r="AL23" s="15">
        <v>-4.2389686619720681</v>
      </c>
      <c r="AM23" s="15">
        <v>-0.44038737008635626</v>
      </c>
      <c r="AN23" s="15">
        <v>1.9591328565600028</v>
      </c>
      <c r="AO23" s="15">
        <v>-1.467619020821868</v>
      </c>
      <c r="AP23" s="15">
        <v>-0.26815444394654464</v>
      </c>
      <c r="AQ23" s="15">
        <v>5.4338497924857005</v>
      </c>
      <c r="AR23" s="16">
        <v>4.812180648792646</v>
      </c>
      <c r="AS23" s="6"/>
      <c r="AT23" s="4"/>
      <c r="AU23" s="4"/>
      <c r="AV23" s="4"/>
      <c r="AW23">
        <f t="shared" si="5"/>
        <v>11.773669625523496</v>
      </c>
      <c r="AX23">
        <f t="shared" si="5"/>
        <v>11.671991955412372</v>
      </c>
      <c r="AY23">
        <f t="shared" si="5"/>
        <v>11.761031338027932</v>
      </c>
      <c r="AZ23">
        <f t="shared" si="5"/>
        <v>11.759612629913644</v>
      </c>
      <c r="BA23">
        <f t="shared" si="5"/>
        <v>11.759132856560004</v>
      </c>
      <c r="BB23">
        <f t="shared" si="5"/>
        <v>11.762380979178133</v>
      </c>
      <c r="BC23">
        <f t="shared" si="5"/>
        <v>11.731845556053456</v>
      </c>
      <c r="BD23">
        <f t="shared" si="5"/>
        <v>11.733849792485699</v>
      </c>
      <c r="BE23">
        <f t="shared" si="5"/>
        <v>11.712180648792646</v>
      </c>
    </row>
    <row r="24" spans="3:57" ht="24.95" customHeight="1" x14ac:dyDescent="0.25">
      <c r="C24" s="1"/>
      <c r="D24" s="13" t="str">
        <f t="shared" si="2"/>
        <v>gr3</v>
      </c>
      <c r="E24" s="14">
        <v>3</v>
      </c>
      <c r="F24" s="15">
        <v>0.5</v>
      </c>
      <c r="G24" s="15">
        <v>0.5</v>
      </c>
      <c r="H24" s="15">
        <v>0.5</v>
      </c>
      <c r="I24" s="15">
        <v>0.5</v>
      </c>
      <c r="J24" s="15">
        <v>0.5</v>
      </c>
      <c r="K24" s="15">
        <v>0.5</v>
      </c>
      <c r="L24" s="15">
        <v>0.5</v>
      </c>
      <c r="M24" s="15">
        <v>0.5</v>
      </c>
      <c r="N24" s="16">
        <v>0.5</v>
      </c>
      <c r="O24" s="1"/>
      <c r="R24" s="1"/>
      <c r="S24" s="13" t="str">
        <f t="shared" si="3"/>
        <v>gr3</v>
      </c>
      <c r="T24" s="14">
        <v>3</v>
      </c>
      <c r="U24" s="15">
        <f t="shared" si="4"/>
        <v>16</v>
      </c>
      <c r="V24" s="15">
        <f t="shared" si="4"/>
        <v>42</v>
      </c>
      <c r="W24" s="15">
        <f t="shared" si="4"/>
        <v>29</v>
      </c>
      <c r="X24" s="15">
        <f t="shared" si="4"/>
        <v>25.259999999999998</v>
      </c>
      <c r="Y24" s="15">
        <f t="shared" si="4"/>
        <v>22.7</v>
      </c>
      <c r="Z24" s="15">
        <f t="shared" si="4"/>
        <v>25.9</v>
      </c>
      <c r="AA24" s="15">
        <f t="shared" si="4"/>
        <v>31.9</v>
      </c>
      <c r="AB24" s="15">
        <f t="shared" si="4"/>
        <v>22.23</v>
      </c>
      <c r="AC24" s="16">
        <f t="shared" si="4"/>
        <v>27.84</v>
      </c>
      <c r="AD24" s="1"/>
      <c r="AH24" s="6"/>
      <c r="AI24" s="17" t="s">
        <v>13</v>
      </c>
      <c r="AJ24" s="15">
        <v>12.019618811575741</v>
      </c>
      <c r="AK24" s="15">
        <v>-13.897399415590538</v>
      </c>
      <c r="AL24" s="15">
        <v>-0.92597554085592848</v>
      </c>
      <c r="AM24" s="15">
        <v>2.8138386746993551</v>
      </c>
      <c r="AN24" s="15">
        <v>5.3709572364726403</v>
      </c>
      <c r="AO24" s="15">
        <v>2.1737705740019315</v>
      </c>
      <c r="AP24" s="15">
        <v>-3.8237861590583448</v>
      </c>
      <c r="AQ24" s="15">
        <v>5.8368210366743929</v>
      </c>
      <c r="AR24" s="16">
        <v>0.22430309638397719</v>
      </c>
      <c r="AS24" s="6"/>
      <c r="AT24" s="4"/>
      <c r="AU24" s="4"/>
      <c r="AV24" s="4"/>
      <c r="AW24">
        <f t="shared" si="5"/>
        <v>28.019618811575739</v>
      </c>
      <c r="AX24">
        <f t="shared" si="5"/>
        <v>28.102600584409462</v>
      </c>
      <c r="AY24">
        <f t="shared" si="5"/>
        <v>28.07402445914407</v>
      </c>
      <c r="AZ24">
        <f t="shared" si="5"/>
        <v>28.073838674699353</v>
      </c>
      <c r="BA24">
        <f t="shared" si="5"/>
        <v>28.070957236472641</v>
      </c>
      <c r="BB24">
        <f t="shared" si="5"/>
        <v>28.07377057400193</v>
      </c>
      <c r="BC24">
        <f t="shared" si="5"/>
        <v>28.076213840941655</v>
      </c>
      <c r="BD24">
        <f t="shared" si="5"/>
        <v>28.066821036674394</v>
      </c>
      <c r="BE24">
        <f t="shared" si="5"/>
        <v>28.064303096383977</v>
      </c>
    </row>
    <row r="25" spans="3:57" ht="24.95" customHeight="1" x14ac:dyDescent="0.25">
      <c r="C25" s="1"/>
      <c r="D25" s="13" t="str">
        <f t="shared" si="2"/>
        <v>gr4</v>
      </c>
      <c r="E25" s="14">
        <v>4</v>
      </c>
      <c r="F25" s="15">
        <v>0.5</v>
      </c>
      <c r="G25" s="15">
        <v>0.5</v>
      </c>
      <c r="H25" s="15">
        <v>0.5</v>
      </c>
      <c r="I25" s="15">
        <v>0.5</v>
      </c>
      <c r="J25" s="15">
        <v>0.5</v>
      </c>
      <c r="K25" s="15">
        <v>0.5</v>
      </c>
      <c r="L25" s="15">
        <v>0.5</v>
      </c>
      <c r="M25" s="15">
        <v>0.5</v>
      </c>
      <c r="N25" s="16">
        <v>0.5</v>
      </c>
      <c r="O25" s="1"/>
      <c r="R25" s="1"/>
      <c r="S25" s="13" t="str">
        <f t="shared" si="3"/>
        <v>gr4</v>
      </c>
      <c r="T25" s="14">
        <v>4</v>
      </c>
      <c r="U25" s="15">
        <f t="shared" si="4"/>
        <v>40</v>
      </c>
      <c r="V25" s="15">
        <f t="shared" si="4"/>
        <v>62</v>
      </c>
      <c r="W25" s="15">
        <f t="shared" si="4"/>
        <v>50</v>
      </c>
      <c r="X25" s="15">
        <f t="shared" si="4"/>
        <v>45.64</v>
      </c>
      <c r="Y25" s="15">
        <f t="shared" si="4"/>
        <v>43.769999999999996</v>
      </c>
      <c r="Z25" s="15">
        <f t="shared" si="4"/>
        <v>46.980000000000004</v>
      </c>
      <c r="AA25" s="15">
        <f t="shared" si="4"/>
        <v>43.01</v>
      </c>
      <c r="AB25" s="15">
        <f t="shared" si="4"/>
        <v>46.08</v>
      </c>
      <c r="AC25" s="16">
        <f t="shared" si="4"/>
        <v>43.25</v>
      </c>
      <c r="AD25" s="1"/>
      <c r="AH25" s="6"/>
      <c r="AI25" s="17" t="s">
        <v>14</v>
      </c>
      <c r="AJ25" s="15">
        <v>2.9931779962179621</v>
      </c>
      <c r="AK25" s="15">
        <v>-18.930364333320135</v>
      </c>
      <c r="AL25" s="15">
        <v>-6.9467407441033036</v>
      </c>
      <c r="AM25" s="15">
        <v>-2.5900139060748457</v>
      </c>
      <c r="AN25" s="15">
        <v>-0.71872255195748669</v>
      </c>
      <c r="AO25" s="15">
        <v>-3.9262959569782505</v>
      </c>
      <c r="AP25" s="15">
        <v>1.8106891292614269E-4</v>
      </c>
      <c r="AQ25" s="15">
        <v>-3.0319504015790093</v>
      </c>
      <c r="AR25" s="16">
        <v>-0.24060924289848634</v>
      </c>
      <c r="AS25" s="6"/>
      <c r="AT25" s="4"/>
      <c r="AU25" s="4"/>
      <c r="AV25" s="4"/>
      <c r="AW25">
        <f t="shared" si="5"/>
        <v>42.993177996217959</v>
      </c>
      <c r="AX25">
        <f t="shared" si="5"/>
        <v>43.069635666679865</v>
      </c>
      <c r="AY25">
        <f t="shared" si="5"/>
        <v>43.053259255896698</v>
      </c>
      <c r="AZ25">
        <f t="shared" si="5"/>
        <v>43.049986093925156</v>
      </c>
      <c r="BA25">
        <f t="shared" si="5"/>
        <v>43.051277448042512</v>
      </c>
      <c r="BB25">
        <f t="shared" si="5"/>
        <v>43.053704043021753</v>
      </c>
      <c r="BC25">
        <f t="shared" si="5"/>
        <v>43.010181068912921</v>
      </c>
      <c r="BD25">
        <f t="shared" si="5"/>
        <v>43.048049598420988</v>
      </c>
      <c r="BE25">
        <f t="shared" si="5"/>
        <v>43.009390757101514</v>
      </c>
    </row>
    <row r="26" spans="3:57" ht="24.95" customHeight="1" x14ac:dyDescent="0.25">
      <c r="C26" s="1"/>
      <c r="D26" s="13" t="str">
        <f t="shared" si="2"/>
        <v>gr5</v>
      </c>
      <c r="E26" s="14">
        <v>5</v>
      </c>
      <c r="F26" s="15">
        <v>0.5</v>
      </c>
      <c r="G26" s="15">
        <v>0.5</v>
      </c>
      <c r="H26" s="15">
        <v>0.5</v>
      </c>
      <c r="I26" s="15">
        <v>0.5</v>
      </c>
      <c r="J26" s="15">
        <v>0.5</v>
      </c>
      <c r="K26" s="15">
        <v>0.5</v>
      </c>
      <c r="L26" s="15">
        <v>0.5</v>
      </c>
      <c r="M26" s="15">
        <v>0.5</v>
      </c>
      <c r="N26" s="16">
        <v>0.5</v>
      </c>
      <c r="O26" s="1"/>
      <c r="R26" s="1"/>
      <c r="S26" s="13" t="str">
        <f t="shared" si="3"/>
        <v>gr5</v>
      </c>
      <c r="T26" s="14">
        <v>5</v>
      </c>
      <c r="U26" s="15">
        <f t="shared" si="4"/>
        <v>1</v>
      </c>
      <c r="V26" s="15">
        <f t="shared" si="4"/>
        <v>11</v>
      </c>
      <c r="W26" s="15">
        <f t="shared" si="4"/>
        <v>22.5</v>
      </c>
      <c r="X26" s="15">
        <f t="shared" si="4"/>
        <v>18.95</v>
      </c>
      <c r="Y26" s="15">
        <f t="shared" si="4"/>
        <v>16.259999999999998</v>
      </c>
      <c r="Z26" s="15">
        <f t="shared" si="4"/>
        <v>19.510000000000002</v>
      </c>
      <c r="AA26" s="15">
        <f t="shared" si="4"/>
        <v>23.08</v>
      </c>
      <c r="AB26" s="15">
        <f t="shared" si="4"/>
        <v>17.3</v>
      </c>
      <c r="AC26" s="16">
        <f t="shared" si="4"/>
        <v>26.12</v>
      </c>
      <c r="AD26" s="1"/>
      <c r="AH26" s="6"/>
      <c r="AI26" s="17" t="s">
        <v>15</v>
      </c>
      <c r="AJ26" s="15">
        <v>22.075707872691115</v>
      </c>
      <c r="AK26" s="15">
        <v>12.088349620337807</v>
      </c>
      <c r="AL26" s="15">
        <v>0.66539913580677323</v>
      </c>
      <c r="AM26" s="15">
        <v>4.2152445593540815</v>
      </c>
      <c r="AN26" s="15">
        <v>6.9031798954451959</v>
      </c>
      <c r="AO26" s="15">
        <v>3.6557628062617078</v>
      </c>
      <c r="AP26" s="15">
        <v>7.9835322467893557E-2</v>
      </c>
      <c r="AQ26" s="15">
        <v>5.8619463143031298</v>
      </c>
      <c r="AR26" s="16">
        <v>-2.9530186828972509</v>
      </c>
      <c r="AS26" s="6"/>
      <c r="AT26" s="4"/>
      <c r="AU26" s="4"/>
      <c r="AV26" s="4"/>
      <c r="AW26">
        <f t="shared" si="5"/>
        <v>23.075707872691115</v>
      </c>
      <c r="AX26">
        <f t="shared" si="5"/>
        <v>23.088349620337809</v>
      </c>
      <c r="AY26">
        <f t="shared" si="5"/>
        <v>23.165399135806773</v>
      </c>
      <c r="AZ26">
        <f t="shared" si="5"/>
        <v>23.165244559354079</v>
      </c>
      <c r="BA26">
        <f t="shared" si="5"/>
        <v>23.163179895445193</v>
      </c>
      <c r="BB26">
        <f t="shared" si="5"/>
        <v>23.165762806261711</v>
      </c>
      <c r="BC26">
        <f t="shared" si="5"/>
        <v>23.159835322467892</v>
      </c>
      <c r="BD26">
        <f t="shared" si="5"/>
        <v>23.16194631430313</v>
      </c>
      <c r="BE26">
        <f t="shared" si="5"/>
        <v>23.166981317102749</v>
      </c>
    </row>
    <row r="27" spans="3:57" ht="24.95" customHeight="1" thickBot="1" x14ac:dyDescent="0.3">
      <c r="C27" s="1"/>
      <c r="D27" s="18" t="str">
        <f t="shared" si="2"/>
        <v>gr6</v>
      </c>
      <c r="E27" s="19">
        <v>6</v>
      </c>
      <c r="F27" s="20">
        <v>0.5</v>
      </c>
      <c r="G27" s="20">
        <v>0.5</v>
      </c>
      <c r="H27" s="20">
        <v>0.5</v>
      </c>
      <c r="I27" s="20">
        <v>0.5</v>
      </c>
      <c r="J27" s="20">
        <v>0.5</v>
      </c>
      <c r="K27" s="20">
        <v>0.5</v>
      </c>
      <c r="L27" s="20">
        <v>0.5</v>
      </c>
      <c r="M27" s="20">
        <v>0.5</v>
      </c>
      <c r="N27" s="21">
        <v>0.5</v>
      </c>
      <c r="O27" s="1"/>
      <c r="R27" s="1"/>
      <c r="S27" s="18" t="str">
        <f t="shared" si="3"/>
        <v>gr6</v>
      </c>
      <c r="T27" s="19">
        <v>6</v>
      </c>
      <c r="U27" s="20">
        <f t="shared" si="4"/>
        <v>16.5</v>
      </c>
      <c r="V27" s="20">
        <f t="shared" si="4"/>
        <v>22</v>
      </c>
      <c r="W27" s="20">
        <f t="shared" si="4"/>
        <v>28</v>
      </c>
      <c r="X27" s="20">
        <f t="shared" si="4"/>
        <v>24.08</v>
      </c>
      <c r="Y27" s="20">
        <f t="shared" si="4"/>
        <v>21.7</v>
      </c>
      <c r="Z27" s="20">
        <f t="shared" si="4"/>
        <v>25.6</v>
      </c>
      <c r="AA27" s="20">
        <f t="shared" si="4"/>
        <v>17.12</v>
      </c>
      <c r="AB27" s="20">
        <f t="shared" si="4"/>
        <v>11.04</v>
      </c>
      <c r="AC27" s="21">
        <f t="shared" si="4"/>
        <v>17.2</v>
      </c>
      <c r="AD27" s="1"/>
      <c r="AH27" s="6"/>
      <c r="AI27" s="22" t="s">
        <v>16</v>
      </c>
      <c r="AJ27" s="20">
        <v>0.37133585120690976</v>
      </c>
      <c r="AK27" s="20">
        <v>-5.1280058733865941</v>
      </c>
      <c r="AL27" s="20">
        <v>-11.073672825447035</v>
      </c>
      <c r="AM27" s="20">
        <v>-7.1551136695845381</v>
      </c>
      <c r="AN27" s="20">
        <v>-4.7761378244202959</v>
      </c>
      <c r="AO27" s="20">
        <v>-8.6708140360654689</v>
      </c>
      <c r="AP27" s="20">
        <v>-0.24971601909911306</v>
      </c>
      <c r="AQ27" s="20">
        <v>5.8320571173136058</v>
      </c>
      <c r="AR27" s="21">
        <v>-0.33027702747286142</v>
      </c>
      <c r="AS27" s="6"/>
      <c r="AT27" s="4"/>
      <c r="AU27" s="4"/>
      <c r="AV27" s="4"/>
      <c r="AW27">
        <f t="shared" si="5"/>
        <v>16.871335851206911</v>
      </c>
      <c r="AX27">
        <f t="shared" si="5"/>
        <v>16.871994126613405</v>
      </c>
      <c r="AY27">
        <f t="shared" si="5"/>
        <v>16.926327174552966</v>
      </c>
      <c r="AZ27">
        <f t="shared" si="5"/>
        <v>16.924886330415461</v>
      </c>
      <c r="BA27">
        <f t="shared" si="5"/>
        <v>16.923862175579703</v>
      </c>
      <c r="BB27">
        <f t="shared" si="5"/>
        <v>16.929185963934533</v>
      </c>
      <c r="BC27">
        <f t="shared" si="5"/>
        <v>16.870283980900886</v>
      </c>
      <c r="BD27">
        <f t="shared" si="5"/>
        <v>16.872057117313606</v>
      </c>
      <c r="BE27">
        <f t="shared" si="5"/>
        <v>16.869722972527139</v>
      </c>
    </row>
    <row r="28" spans="3:57" ht="24.95" customHeight="1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H28" s="6"/>
      <c r="AI28" s="23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4"/>
      <c r="AU28" s="4"/>
      <c r="AV28" s="4"/>
    </row>
    <row r="29" spans="3:57" ht="24.95" customHeight="1" x14ac:dyDescent="0.25">
      <c r="AT29" s="4"/>
      <c r="AU29" s="4"/>
      <c r="AV29" s="4"/>
    </row>
    <row r="30" spans="3:57" ht="24.95" customHeight="1" thickBot="1" x14ac:dyDescent="0.4">
      <c r="C30" s="1"/>
      <c r="D30" s="5" t="s">
        <v>21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AT30" s="4"/>
      <c r="AU30" s="4"/>
      <c r="AV30" s="4"/>
    </row>
    <row r="31" spans="3:57" ht="24.95" customHeight="1" x14ac:dyDescent="0.25">
      <c r="C31" s="1"/>
      <c r="D31" s="7">
        <v>1</v>
      </c>
      <c r="E31" s="8" t="s">
        <v>22</v>
      </c>
      <c r="F31" s="8" t="str">
        <f>H7</f>
        <v>g1</v>
      </c>
      <c r="G31" s="8" t="str">
        <f t="shared" ref="G31:N31" si="6">I7</f>
        <v>g2</v>
      </c>
      <c r="H31" s="8" t="str">
        <f t="shared" si="6"/>
        <v>g3</v>
      </c>
      <c r="I31" s="8" t="str">
        <f t="shared" si="6"/>
        <v>g4</v>
      </c>
      <c r="J31" s="8" t="str">
        <f t="shared" si="6"/>
        <v>g5</v>
      </c>
      <c r="K31" s="8" t="str">
        <f t="shared" si="6"/>
        <v>g6</v>
      </c>
      <c r="L31" s="8" t="str">
        <f t="shared" si="6"/>
        <v>g7</v>
      </c>
      <c r="M31" s="8" t="str">
        <f t="shared" si="6"/>
        <v>g8</v>
      </c>
      <c r="N31" s="9" t="str">
        <f t="shared" si="6"/>
        <v>g9</v>
      </c>
      <c r="O31" s="1"/>
      <c r="AT31" s="4"/>
      <c r="AU31" s="4"/>
      <c r="AV31" s="4"/>
    </row>
    <row r="32" spans="3:57" ht="24.95" customHeight="1" x14ac:dyDescent="0.25">
      <c r="C32" s="1"/>
      <c r="D32" s="13" t="str">
        <f t="shared" ref="D32:D37" si="7">G8</f>
        <v>gr1</v>
      </c>
      <c r="E32" s="14"/>
      <c r="F32" s="15"/>
      <c r="G32" s="15"/>
      <c r="H32" s="15"/>
      <c r="I32" s="15"/>
      <c r="J32" s="15"/>
      <c r="K32" s="15"/>
      <c r="L32" s="15"/>
      <c r="M32" s="15"/>
      <c r="N32" s="16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T32" s="4"/>
      <c r="AU32" s="4"/>
      <c r="AV32" s="4"/>
    </row>
    <row r="33" spans="3:57" ht="24.95" customHeight="1" x14ac:dyDescent="0.35">
      <c r="C33" s="1"/>
      <c r="D33" s="13" t="str">
        <f t="shared" si="7"/>
        <v>gr2</v>
      </c>
      <c r="E33" s="14"/>
      <c r="F33" s="15"/>
      <c r="G33" s="15"/>
      <c r="H33" s="15"/>
      <c r="I33" s="15"/>
      <c r="J33" s="15"/>
      <c r="K33" s="15"/>
      <c r="L33" s="15"/>
      <c r="M33" s="15"/>
      <c r="N33" s="16"/>
      <c r="O33" s="1"/>
      <c r="Q33" s="1"/>
      <c r="S33" s="5" t="s">
        <v>23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H33" s="5" t="s">
        <v>24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3:57" ht="24.95" customHeight="1" x14ac:dyDescent="0.25">
      <c r="C34" s="1"/>
      <c r="D34" s="13" t="str">
        <f t="shared" si="7"/>
        <v>gr3</v>
      </c>
      <c r="E34" s="14"/>
      <c r="F34" s="15"/>
      <c r="G34" s="15"/>
      <c r="H34" s="15"/>
      <c r="I34" s="15"/>
      <c r="J34" s="15"/>
      <c r="K34" s="15"/>
      <c r="L34" s="15"/>
      <c r="M34" s="15"/>
      <c r="N34" s="16"/>
      <c r="O34" s="1"/>
      <c r="Q34" s="1"/>
      <c r="R34" s="1"/>
      <c r="S34" s="1"/>
      <c r="T34" s="1" t="str">
        <f t="shared" ref="T34:AB34" si="8">U21</f>
        <v>g1</v>
      </c>
      <c r="U34" s="1" t="str">
        <f t="shared" si="8"/>
        <v>g2</v>
      </c>
      <c r="V34" s="1" t="str">
        <f t="shared" si="8"/>
        <v>g3</v>
      </c>
      <c r="W34" s="1" t="str">
        <f t="shared" si="8"/>
        <v>g4</v>
      </c>
      <c r="X34" s="1" t="str">
        <f t="shared" si="8"/>
        <v>g5</v>
      </c>
      <c r="Y34" s="1" t="str">
        <f t="shared" si="8"/>
        <v>g6</v>
      </c>
      <c r="Z34" s="1" t="str">
        <f t="shared" si="8"/>
        <v>g7</v>
      </c>
      <c r="AA34" s="1" t="str">
        <f t="shared" si="8"/>
        <v>g8</v>
      </c>
      <c r="AB34" s="1" t="str">
        <f t="shared" si="8"/>
        <v>g9</v>
      </c>
      <c r="AC34" s="1"/>
      <c r="AD34" s="1"/>
      <c r="AE34" s="1"/>
      <c r="AF34" s="1"/>
      <c r="AG34" s="1"/>
      <c r="AH34" s="1"/>
      <c r="AI34" s="1" t="str">
        <f t="shared" ref="AI34:AQ34" si="9">AJ21</f>
        <v>g1</v>
      </c>
      <c r="AJ34" s="1" t="str">
        <f t="shared" si="9"/>
        <v>g2</v>
      </c>
      <c r="AK34" s="1" t="str">
        <f t="shared" si="9"/>
        <v>g3</v>
      </c>
      <c r="AL34" s="1" t="str">
        <f t="shared" si="9"/>
        <v>g4</v>
      </c>
      <c r="AM34" s="1" t="str">
        <f t="shared" si="9"/>
        <v>g5</v>
      </c>
      <c r="AN34" s="1" t="str">
        <f t="shared" si="9"/>
        <v>g6</v>
      </c>
      <c r="AO34" s="1" t="str">
        <f t="shared" si="9"/>
        <v>g7</v>
      </c>
      <c r="AP34" s="1" t="str">
        <f t="shared" si="9"/>
        <v>g8</v>
      </c>
      <c r="AQ34" s="1" t="str">
        <f t="shared" si="9"/>
        <v>g9</v>
      </c>
      <c r="AR34" s="1"/>
    </row>
    <row r="35" spans="3:57" ht="24.95" customHeight="1" x14ac:dyDescent="0.25">
      <c r="C35" s="1"/>
      <c r="D35" s="13" t="str">
        <f t="shared" si="7"/>
        <v>gr4</v>
      </c>
      <c r="E35" s="14"/>
      <c r="F35" s="15"/>
      <c r="G35" s="15"/>
      <c r="H35" s="15"/>
      <c r="I35" s="15"/>
      <c r="J35" s="15"/>
      <c r="K35" s="15"/>
      <c r="L35" s="15"/>
      <c r="M35" s="15"/>
      <c r="N35" s="16"/>
      <c r="O35" s="1"/>
      <c r="Q35" s="1"/>
      <c r="R35" s="1"/>
      <c r="S35" s="1" t="str">
        <f t="shared" ref="S35:S40" si="10">S22</f>
        <v>gr1</v>
      </c>
      <c r="T35" s="3">
        <f t="shared" ref="T35:AB40" si="11">-(W8+AJ8+AW8-W$8-AJ$8-AW$8)</f>
        <v>0</v>
      </c>
      <c r="U35" s="3">
        <f t="shared" si="11"/>
        <v>0</v>
      </c>
      <c r="V35" s="3">
        <f t="shared" si="11"/>
        <v>0</v>
      </c>
      <c r="W35" s="3">
        <f t="shared" si="11"/>
        <v>0</v>
      </c>
      <c r="X35" s="3">
        <f t="shared" si="11"/>
        <v>0</v>
      </c>
      <c r="Y35" s="3">
        <f t="shared" si="11"/>
        <v>0</v>
      </c>
      <c r="Z35" s="3">
        <f t="shared" si="11"/>
        <v>0</v>
      </c>
      <c r="AA35" s="3">
        <f t="shared" si="11"/>
        <v>0</v>
      </c>
      <c r="AB35" s="3">
        <f t="shared" si="11"/>
        <v>0</v>
      </c>
      <c r="AC35" s="1"/>
      <c r="AD35" s="1"/>
      <c r="AE35" s="1"/>
      <c r="AF35" s="1"/>
      <c r="AG35" s="1"/>
      <c r="AH35" s="1" t="str">
        <f t="shared" ref="AH35:AH40" si="12">AI22</f>
        <v>gr1</v>
      </c>
      <c r="AI35" s="3">
        <f>AJ22-AJ$22</f>
        <v>0</v>
      </c>
      <c r="AJ35" s="3">
        <f t="shared" ref="AJ35:AQ35" si="13">AK22-AK$22</f>
        <v>0</v>
      </c>
      <c r="AK35" s="3">
        <f t="shared" si="13"/>
        <v>0</v>
      </c>
      <c r="AL35" s="3">
        <f t="shared" si="13"/>
        <v>0</v>
      </c>
      <c r="AM35" s="3">
        <f t="shared" si="13"/>
        <v>0</v>
      </c>
      <c r="AN35" s="3">
        <f t="shared" si="13"/>
        <v>0</v>
      </c>
      <c r="AO35" s="3">
        <f t="shared" si="13"/>
        <v>0</v>
      </c>
      <c r="AP35" s="3">
        <f t="shared" si="13"/>
        <v>0</v>
      </c>
      <c r="AQ35" s="3">
        <f t="shared" si="13"/>
        <v>0</v>
      </c>
      <c r="AR35" s="1"/>
      <c r="AW35">
        <f t="shared" ref="AW35:BE40" si="14">T35-AI35</f>
        <v>0</v>
      </c>
      <c r="AX35">
        <f t="shared" si="14"/>
        <v>0</v>
      </c>
      <c r="AY35">
        <f t="shared" si="14"/>
        <v>0</v>
      </c>
      <c r="AZ35">
        <f t="shared" si="14"/>
        <v>0</v>
      </c>
      <c r="BA35">
        <f t="shared" si="14"/>
        <v>0</v>
      </c>
      <c r="BB35">
        <f t="shared" si="14"/>
        <v>0</v>
      </c>
      <c r="BC35">
        <f t="shared" si="14"/>
        <v>0</v>
      </c>
      <c r="BD35">
        <f t="shared" si="14"/>
        <v>0</v>
      </c>
      <c r="BE35">
        <f t="shared" si="14"/>
        <v>0</v>
      </c>
    </row>
    <row r="36" spans="3:57" ht="24.95" customHeight="1" x14ac:dyDescent="0.25">
      <c r="C36" s="1"/>
      <c r="D36" s="13" t="str">
        <f t="shared" si="7"/>
        <v>gr5</v>
      </c>
      <c r="E36" s="14"/>
      <c r="F36" s="15"/>
      <c r="G36" s="15"/>
      <c r="H36" s="15"/>
      <c r="I36" s="15"/>
      <c r="J36" s="15"/>
      <c r="K36" s="15"/>
      <c r="L36" s="15"/>
      <c r="M36" s="15"/>
      <c r="N36" s="16"/>
      <c r="O36" s="1"/>
      <c r="Q36" s="1"/>
      <c r="R36" s="1"/>
      <c r="S36" s="1" t="str">
        <f t="shared" si="10"/>
        <v>gr2</v>
      </c>
      <c r="T36" s="3">
        <f t="shared" si="11"/>
        <v>-3</v>
      </c>
      <c r="U36" s="3">
        <f t="shared" si="11"/>
        <v>15</v>
      </c>
      <c r="V36" s="3">
        <f t="shared" si="11"/>
        <v>-2</v>
      </c>
      <c r="W36" s="3">
        <f t="shared" si="11"/>
        <v>-2.1999999999999993</v>
      </c>
      <c r="X36" s="3">
        <f t="shared" si="11"/>
        <v>-1.7999999999999998</v>
      </c>
      <c r="Y36" s="3">
        <f t="shared" si="11"/>
        <v>-2.2300000000000004</v>
      </c>
      <c r="Z36" s="3">
        <f t="shared" si="11"/>
        <v>0.26</v>
      </c>
      <c r="AA36" s="3">
        <f t="shared" si="11"/>
        <v>-9.9999999999999978E-2</v>
      </c>
      <c r="AB36" s="3">
        <f t="shared" si="11"/>
        <v>4.9799999999999995</v>
      </c>
      <c r="AC36" s="1"/>
      <c r="AD36" s="1"/>
      <c r="AE36" s="1"/>
      <c r="AF36" s="1"/>
      <c r="AG36" s="1"/>
      <c r="AH36" s="1" t="str">
        <f t="shared" si="12"/>
        <v>gr2</v>
      </c>
      <c r="AI36" s="3">
        <f t="shared" ref="AI36:AQ40" si="15">AJ23-AJ$22</f>
        <v>-3.1390668043645045</v>
      </c>
      <c r="AJ36" s="3">
        <f t="shared" si="15"/>
        <v>14.782668225224537</v>
      </c>
      <c r="AK36" s="3">
        <f t="shared" si="15"/>
        <v>-2.1457951830183379</v>
      </c>
      <c r="AL36" s="3">
        <f t="shared" si="15"/>
        <v>-2.3454958562284256</v>
      </c>
      <c r="AM36" s="3">
        <f t="shared" si="15"/>
        <v>-1.9462781839115459</v>
      </c>
      <c r="AN36" s="3">
        <f t="shared" si="15"/>
        <v>-2.3748587056811647</v>
      </c>
      <c r="AO36" s="3">
        <f t="shared" si="15"/>
        <v>0.1041465431762218</v>
      </c>
      <c r="AP36" s="3">
        <f t="shared" si="15"/>
        <v>-0.25602600172854562</v>
      </c>
      <c r="AQ36" s="3">
        <f t="shared" si="15"/>
        <v>4.805038634524502</v>
      </c>
      <c r="AR36" s="1"/>
      <c r="AW36">
        <f t="shared" si="14"/>
        <v>0.13906680436450447</v>
      </c>
      <c r="AX36">
        <f t="shared" si="14"/>
        <v>0.21733177477546306</v>
      </c>
      <c r="AY36">
        <f t="shared" si="14"/>
        <v>0.14579518301833794</v>
      </c>
      <c r="AZ36">
        <f t="shared" si="14"/>
        <v>0.14549585622842631</v>
      </c>
      <c r="BA36">
        <f t="shared" si="14"/>
        <v>0.14627818391154612</v>
      </c>
      <c r="BB36">
        <f t="shared" si="14"/>
        <v>0.14485870568116432</v>
      </c>
      <c r="BC36">
        <f t="shared" si="14"/>
        <v>0.15585345682377821</v>
      </c>
      <c r="BD36">
        <f t="shared" si="14"/>
        <v>0.15602600172854564</v>
      </c>
      <c r="BE36">
        <f t="shared" si="14"/>
        <v>0.17496136547549757</v>
      </c>
    </row>
    <row r="37" spans="3:57" ht="24.95" customHeight="1" x14ac:dyDescent="0.25">
      <c r="C37" s="1"/>
      <c r="D37" s="13" t="str">
        <f t="shared" si="7"/>
        <v>gr6</v>
      </c>
      <c r="E37" s="14"/>
      <c r="F37" s="15"/>
      <c r="G37" s="15"/>
      <c r="H37" s="15"/>
      <c r="I37" s="15"/>
      <c r="J37" s="15"/>
      <c r="K37" s="15"/>
      <c r="L37" s="15"/>
      <c r="M37" s="15"/>
      <c r="N37" s="16"/>
      <c r="O37" s="1"/>
      <c r="P37" s="1"/>
      <c r="Q37" s="1"/>
      <c r="R37" s="1"/>
      <c r="S37" s="1" t="str">
        <f t="shared" si="10"/>
        <v>gr3</v>
      </c>
      <c r="T37" s="3">
        <f t="shared" si="11"/>
        <v>17</v>
      </c>
      <c r="U37" s="3">
        <f t="shared" si="11"/>
        <v>-9</v>
      </c>
      <c r="V37" s="3">
        <f t="shared" si="11"/>
        <v>1</v>
      </c>
      <c r="W37" s="3">
        <f t="shared" si="11"/>
        <v>0.74000000000000021</v>
      </c>
      <c r="X37" s="3">
        <f t="shared" si="11"/>
        <v>1.3000000000000007</v>
      </c>
      <c r="Y37" s="3">
        <f t="shared" si="11"/>
        <v>1.1000000000000001</v>
      </c>
      <c r="Z37" s="3">
        <f t="shared" si="11"/>
        <v>-3.6399999999999997</v>
      </c>
      <c r="AA37" s="3">
        <f t="shared" si="11"/>
        <v>-0.03</v>
      </c>
      <c r="AB37" s="3">
        <f t="shared" si="11"/>
        <v>4.0000000000000008E-2</v>
      </c>
      <c r="AC37" s="1"/>
      <c r="AD37" s="1"/>
      <c r="AE37" s="1"/>
      <c r="AF37" s="1"/>
      <c r="AG37" s="1"/>
      <c r="AH37" s="1" t="str">
        <f t="shared" si="12"/>
        <v>gr3</v>
      </c>
      <c r="AI37" s="3">
        <f t="shared" si="15"/>
        <v>17.10688238168774</v>
      </c>
      <c r="AJ37" s="3">
        <f t="shared" si="15"/>
        <v>-8.7867231457783745</v>
      </c>
      <c r="AK37" s="3">
        <f t="shared" si="15"/>
        <v>1.1671979380978017</v>
      </c>
      <c r="AL37" s="3">
        <f t="shared" si="15"/>
        <v>0.90873018855728582</v>
      </c>
      <c r="AM37" s="3">
        <f t="shared" si="15"/>
        <v>1.4655461960010916</v>
      </c>
      <c r="AN37" s="3">
        <f t="shared" si="15"/>
        <v>1.2665308891426346</v>
      </c>
      <c r="AO37" s="3">
        <f t="shared" si="15"/>
        <v>-3.4514851719355786</v>
      </c>
      <c r="AP37" s="3">
        <f t="shared" si="15"/>
        <v>0.14694524246014673</v>
      </c>
      <c r="AQ37" s="3">
        <f t="shared" si="15"/>
        <v>0.21716108211583293</v>
      </c>
      <c r="AR37" s="1"/>
      <c r="AW37">
        <f t="shared" si="14"/>
        <v>-0.10688238168773978</v>
      </c>
      <c r="AX37">
        <f t="shared" si="14"/>
        <v>-0.21327685422162546</v>
      </c>
      <c r="AY37">
        <f t="shared" si="14"/>
        <v>-0.1671979380978017</v>
      </c>
      <c r="AZ37">
        <f t="shared" si="14"/>
        <v>-0.16873018855728561</v>
      </c>
      <c r="BA37">
        <f t="shared" si="14"/>
        <v>-0.16554619600109088</v>
      </c>
      <c r="BB37">
        <f t="shared" si="14"/>
        <v>-0.16653088914263448</v>
      </c>
      <c r="BC37">
        <f t="shared" si="14"/>
        <v>-0.1885148280644211</v>
      </c>
      <c r="BD37">
        <f t="shared" si="14"/>
        <v>-0.17694524246014673</v>
      </c>
      <c r="BE37">
        <f t="shared" si="14"/>
        <v>-0.17716108211583292</v>
      </c>
    </row>
    <row r="38" spans="3:57" ht="24.95" customHeight="1" x14ac:dyDescent="0.25">
      <c r="C38" s="1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24"/>
      <c r="O38" s="1"/>
      <c r="Q38" s="1"/>
      <c r="R38" s="1"/>
      <c r="S38" s="1" t="str">
        <f t="shared" si="10"/>
        <v>gr4</v>
      </c>
      <c r="T38" s="3">
        <f t="shared" si="11"/>
        <v>8</v>
      </c>
      <c r="U38" s="3">
        <f t="shared" si="11"/>
        <v>-14</v>
      </c>
      <c r="V38" s="3">
        <f t="shared" si="11"/>
        <v>-5</v>
      </c>
      <c r="W38" s="3">
        <f t="shared" si="11"/>
        <v>-4.6399999999999997</v>
      </c>
      <c r="X38" s="3">
        <f t="shared" si="11"/>
        <v>-4.7699999999999996</v>
      </c>
      <c r="Y38" s="3">
        <f t="shared" si="11"/>
        <v>-4.9800000000000004</v>
      </c>
      <c r="Z38" s="3">
        <f t="shared" si="11"/>
        <v>0.25</v>
      </c>
      <c r="AA38" s="3">
        <f t="shared" si="11"/>
        <v>-8.8800000000000008</v>
      </c>
      <c r="AB38" s="3">
        <f t="shared" si="11"/>
        <v>-0.37</v>
      </c>
      <c r="AC38" s="1"/>
      <c r="AD38" s="1"/>
      <c r="AE38" s="1"/>
      <c r="AF38" s="1"/>
      <c r="AG38" s="1"/>
      <c r="AH38" s="1" t="str">
        <f t="shared" si="12"/>
        <v>gr4</v>
      </c>
      <c r="AI38" s="3">
        <f t="shared" si="15"/>
        <v>8.0804415663299611</v>
      </c>
      <c r="AJ38" s="3">
        <f t="shared" si="15"/>
        <v>-13.819688063507972</v>
      </c>
      <c r="AK38" s="3">
        <f t="shared" si="15"/>
        <v>-4.8535672651495734</v>
      </c>
      <c r="AL38" s="3">
        <f t="shared" si="15"/>
        <v>-4.4951223922169152</v>
      </c>
      <c r="AM38" s="3">
        <f t="shared" si="15"/>
        <v>-4.6241335924290352</v>
      </c>
      <c r="AN38" s="3">
        <f t="shared" si="15"/>
        <v>-4.8335356418375479</v>
      </c>
      <c r="AO38" s="3">
        <f t="shared" si="15"/>
        <v>0.37248205603569257</v>
      </c>
      <c r="AP38" s="3">
        <f t="shared" si="15"/>
        <v>-8.7218261957932555</v>
      </c>
      <c r="AQ38" s="3">
        <f t="shared" si="15"/>
        <v>-0.2477512571666306</v>
      </c>
      <c r="AR38" s="1"/>
      <c r="AW38">
        <f t="shared" si="14"/>
        <v>-8.0441566329961134E-2</v>
      </c>
      <c r="AX38">
        <f t="shared" si="14"/>
        <v>-0.18031193649202848</v>
      </c>
      <c r="AY38">
        <f t="shared" si="14"/>
        <v>-0.14643273485042663</v>
      </c>
      <c r="AZ38">
        <f t="shared" si="14"/>
        <v>-0.14487760778308445</v>
      </c>
      <c r="BA38">
        <f t="shared" si="14"/>
        <v>-0.14586640757096436</v>
      </c>
      <c r="BB38">
        <f t="shared" si="14"/>
        <v>-0.14646435816245251</v>
      </c>
      <c r="BC38">
        <f t="shared" si="14"/>
        <v>-0.12248205603569257</v>
      </c>
      <c r="BD38">
        <f t="shared" si="14"/>
        <v>-0.15817380420674532</v>
      </c>
      <c r="BE38">
        <f t="shared" si="14"/>
        <v>-0.12224874283336939</v>
      </c>
    </row>
    <row r="39" spans="3:57" ht="24.95" customHeight="1" x14ac:dyDescent="0.25">
      <c r="C39" s="1"/>
      <c r="D39" s="13"/>
      <c r="E39" s="14" t="s">
        <v>25</v>
      </c>
      <c r="F39" s="14" t="str">
        <f>F31</f>
        <v>g1</v>
      </c>
      <c r="G39" s="14" t="str">
        <f t="shared" ref="G39:N39" si="16">G31</f>
        <v>g2</v>
      </c>
      <c r="H39" s="14" t="str">
        <f t="shared" si="16"/>
        <v>g3</v>
      </c>
      <c r="I39" s="14" t="str">
        <f t="shared" si="16"/>
        <v>g4</v>
      </c>
      <c r="J39" s="14" t="str">
        <f t="shared" si="16"/>
        <v>g5</v>
      </c>
      <c r="K39" s="14" t="str">
        <f t="shared" si="16"/>
        <v>g6</v>
      </c>
      <c r="L39" s="14" t="str">
        <f t="shared" si="16"/>
        <v>g7</v>
      </c>
      <c r="M39" s="14" t="str">
        <f t="shared" si="16"/>
        <v>g8</v>
      </c>
      <c r="N39" s="24" t="str">
        <f t="shared" si="16"/>
        <v>g9</v>
      </c>
      <c r="O39" s="1"/>
      <c r="Q39" s="1"/>
      <c r="R39" s="1"/>
      <c r="S39" s="1" t="str">
        <f t="shared" si="10"/>
        <v>gr5</v>
      </c>
      <c r="T39" s="3">
        <f t="shared" si="11"/>
        <v>27</v>
      </c>
      <c r="U39" s="3">
        <f t="shared" si="11"/>
        <v>17</v>
      </c>
      <c r="V39" s="3">
        <f t="shared" si="11"/>
        <v>2.5</v>
      </c>
      <c r="W39" s="3">
        <f t="shared" si="11"/>
        <v>2.0500000000000007</v>
      </c>
      <c r="X39" s="3">
        <f t="shared" si="11"/>
        <v>2.74</v>
      </c>
      <c r="Y39" s="3">
        <f t="shared" si="11"/>
        <v>2.4900000000000002</v>
      </c>
      <c r="Z39" s="3">
        <f t="shared" si="11"/>
        <v>0.18</v>
      </c>
      <c r="AA39" s="3">
        <f t="shared" si="11"/>
        <v>-9.9999999999999978E-2</v>
      </c>
      <c r="AB39" s="3">
        <f t="shared" si="11"/>
        <v>-3.24</v>
      </c>
      <c r="AC39" s="1"/>
      <c r="AD39" s="1"/>
      <c r="AE39" s="1"/>
      <c r="AF39" s="1"/>
      <c r="AG39" s="1"/>
      <c r="AH39" s="1" t="str">
        <f t="shared" si="12"/>
        <v>gr5</v>
      </c>
      <c r="AI39" s="3">
        <f t="shared" si="15"/>
        <v>27.162971442803116</v>
      </c>
      <c r="AJ39" s="3">
        <f t="shared" si="15"/>
        <v>17.199025890149972</v>
      </c>
      <c r="AK39" s="3">
        <f t="shared" si="15"/>
        <v>2.7585726147605034</v>
      </c>
      <c r="AL39" s="3">
        <f t="shared" si="15"/>
        <v>2.3101360732120124</v>
      </c>
      <c r="AM39" s="3">
        <f t="shared" si="15"/>
        <v>2.9977688549736472</v>
      </c>
      <c r="AN39" s="3">
        <f t="shared" si="15"/>
        <v>2.7485231214024108</v>
      </c>
      <c r="AO39" s="3">
        <f t="shared" si="15"/>
        <v>0.45213630959065998</v>
      </c>
      <c r="AP39" s="3">
        <f t="shared" si="15"/>
        <v>0.17207052008888368</v>
      </c>
      <c r="AQ39" s="3">
        <f t="shared" si="15"/>
        <v>-2.9601606971653953</v>
      </c>
      <c r="AR39" s="1"/>
      <c r="AW39">
        <f t="shared" si="14"/>
        <v>-0.16297144280311571</v>
      </c>
      <c r="AX39">
        <f t="shared" si="14"/>
        <v>-0.19902589014997218</v>
      </c>
      <c r="AY39">
        <f t="shared" si="14"/>
        <v>-0.25857261476050342</v>
      </c>
      <c r="AZ39">
        <f t="shared" si="14"/>
        <v>-0.26013607321201171</v>
      </c>
      <c r="BA39">
        <f t="shared" si="14"/>
        <v>-0.25776885497364699</v>
      </c>
      <c r="BB39">
        <f t="shared" si="14"/>
        <v>-0.25852312140241063</v>
      </c>
      <c r="BC39">
        <f t="shared" si="14"/>
        <v>-0.27213630959065999</v>
      </c>
      <c r="BD39">
        <f t="shared" si="14"/>
        <v>-0.27207052008888366</v>
      </c>
      <c r="BE39">
        <f t="shared" si="14"/>
        <v>-0.2798393028346049</v>
      </c>
    </row>
    <row r="40" spans="3:57" ht="24.95" customHeight="1" x14ac:dyDescent="0.25">
      <c r="C40" s="1"/>
      <c r="D40" s="13" t="s">
        <v>26</v>
      </c>
      <c r="E40" s="14" t="str">
        <f t="shared" ref="E40:E45" si="17">D32</f>
        <v>gr1</v>
      </c>
      <c r="F40" s="15"/>
      <c r="G40" s="15"/>
      <c r="H40" s="15"/>
      <c r="I40" s="15"/>
      <c r="J40" s="15"/>
      <c r="K40" s="15"/>
      <c r="L40" s="15">
        <v>5</v>
      </c>
      <c r="M40" s="15">
        <v>5</v>
      </c>
      <c r="N40" s="16">
        <v>5</v>
      </c>
      <c r="O40" s="1"/>
      <c r="Q40" s="1"/>
      <c r="R40" s="1"/>
      <c r="S40" s="1" t="str">
        <f t="shared" si="10"/>
        <v>gr6</v>
      </c>
      <c r="T40" s="3">
        <f t="shared" si="11"/>
        <v>5.5</v>
      </c>
      <c r="U40" s="3">
        <f t="shared" si="11"/>
        <v>0</v>
      </c>
      <c r="V40" s="3">
        <f t="shared" si="11"/>
        <v>-9</v>
      </c>
      <c r="W40" s="3">
        <f t="shared" si="11"/>
        <v>-9.08</v>
      </c>
      <c r="X40" s="3">
        <f t="shared" si="11"/>
        <v>-8.6999999999999993</v>
      </c>
      <c r="Y40" s="3">
        <f t="shared" si="11"/>
        <v>-9.6</v>
      </c>
      <c r="Z40" s="3">
        <f t="shared" si="11"/>
        <v>0.14000000000000001</v>
      </c>
      <c r="AA40" s="3">
        <f t="shared" si="11"/>
        <v>0.16</v>
      </c>
      <c r="AB40" s="3">
        <f t="shared" si="11"/>
        <v>-0.32</v>
      </c>
      <c r="AC40" s="1"/>
      <c r="AD40" s="1"/>
      <c r="AE40" s="1"/>
      <c r="AF40" s="1"/>
      <c r="AG40" s="1"/>
      <c r="AH40" s="1" t="str">
        <f t="shared" si="12"/>
        <v>gr6</v>
      </c>
      <c r="AI40" s="3">
        <f t="shared" si="15"/>
        <v>5.4585994213189091</v>
      </c>
      <c r="AJ40" s="3">
        <f t="shared" si="15"/>
        <v>-1.7329603574429697E-2</v>
      </c>
      <c r="AK40" s="3">
        <f t="shared" si="15"/>
        <v>-8.9804993464933052</v>
      </c>
      <c r="AL40" s="3">
        <f t="shared" si="15"/>
        <v>-9.0602221557266081</v>
      </c>
      <c r="AM40" s="3">
        <f t="shared" si="15"/>
        <v>-8.6815488648918446</v>
      </c>
      <c r="AN40" s="3">
        <f t="shared" si="15"/>
        <v>-9.5780537209247658</v>
      </c>
      <c r="AO40" s="3">
        <f t="shared" si="15"/>
        <v>0.12258496802365337</v>
      </c>
      <c r="AP40" s="3">
        <f t="shared" si="15"/>
        <v>0.1421813230993596</v>
      </c>
      <c r="AQ40" s="3">
        <f t="shared" si="15"/>
        <v>-0.33741904174100568</v>
      </c>
      <c r="AR40" s="1"/>
      <c r="AW40">
        <f t="shared" si="14"/>
        <v>4.1400578681090927E-2</v>
      </c>
      <c r="AX40">
        <f t="shared" si="14"/>
        <v>1.7329603574429697E-2</v>
      </c>
      <c r="AY40">
        <f t="shared" si="14"/>
        <v>-1.9500653506694832E-2</v>
      </c>
      <c r="AZ40">
        <f t="shared" si="14"/>
        <v>-1.977784427339202E-2</v>
      </c>
      <c r="BA40">
        <f t="shared" si="14"/>
        <v>-1.8451135108154659E-2</v>
      </c>
      <c r="BB40">
        <f t="shared" si="14"/>
        <v>-2.1946279075233832E-2</v>
      </c>
      <c r="BC40">
        <f t="shared" si="14"/>
        <v>1.741503197634664E-2</v>
      </c>
      <c r="BD40">
        <f t="shared" si="14"/>
        <v>1.7818676900640401E-2</v>
      </c>
      <c r="BE40">
        <f t="shared" si="14"/>
        <v>1.741904174100567E-2</v>
      </c>
    </row>
    <row r="41" spans="3:57" ht="24.95" customHeight="1" x14ac:dyDescent="0.25">
      <c r="C41" s="1"/>
      <c r="D41" s="13" t="s">
        <v>26</v>
      </c>
      <c r="E41" s="14" t="str">
        <f t="shared" si="17"/>
        <v>gr2</v>
      </c>
      <c r="F41" s="15"/>
      <c r="G41" s="15"/>
      <c r="H41" s="15"/>
      <c r="I41" s="15"/>
      <c r="J41" s="15"/>
      <c r="K41" s="15"/>
      <c r="L41" s="15">
        <v>5</v>
      </c>
      <c r="M41" s="15">
        <v>5</v>
      </c>
      <c r="N41" s="16">
        <v>5</v>
      </c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3:57" ht="24.95" customHeight="1" x14ac:dyDescent="0.25">
      <c r="C42" s="1"/>
      <c r="D42" s="13" t="s">
        <v>26</v>
      </c>
      <c r="E42" s="14" t="str">
        <f t="shared" si="17"/>
        <v>gr3</v>
      </c>
      <c r="F42" s="15"/>
      <c r="G42" s="15"/>
      <c r="H42" s="15"/>
      <c r="I42" s="15"/>
      <c r="J42" s="15"/>
      <c r="K42" s="15"/>
      <c r="L42" s="15">
        <v>5</v>
      </c>
      <c r="M42" s="15">
        <v>5</v>
      </c>
      <c r="N42" s="16">
        <v>5</v>
      </c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3:57" ht="24.95" customHeight="1" x14ac:dyDescent="0.25">
      <c r="C43" s="1"/>
      <c r="D43" s="13" t="s">
        <v>26</v>
      </c>
      <c r="E43" s="14" t="str">
        <f t="shared" si="17"/>
        <v>gr4</v>
      </c>
      <c r="F43" s="15"/>
      <c r="G43" s="15"/>
      <c r="H43" s="15"/>
      <c r="I43" s="15"/>
      <c r="J43" s="15"/>
      <c r="K43" s="15"/>
      <c r="L43" s="15">
        <v>5</v>
      </c>
      <c r="M43" s="15">
        <v>5</v>
      </c>
      <c r="N43" s="16">
        <v>5</v>
      </c>
      <c r="O43" s="1"/>
      <c r="Q43" s="1"/>
      <c r="R43" s="1"/>
      <c r="S43" s="1"/>
      <c r="T43" s="1" t="str">
        <f>T34</f>
        <v>g1</v>
      </c>
      <c r="U43" s="1" t="str">
        <f t="shared" ref="U43:AB43" si="18">U34</f>
        <v>g2</v>
      </c>
      <c r="V43" s="1" t="str">
        <f t="shared" si="18"/>
        <v>g3</v>
      </c>
      <c r="W43" s="1" t="str">
        <f t="shared" si="18"/>
        <v>g4</v>
      </c>
      <c r="X43" s="1" t="str">
        <f t="shared" si="18"/>
        <v>g5</v>
      </c>
      <c r="Y43" s="1" t="str">
        <f t="shared" si="18"/>
        <v>g6</v>
      </c>
      <c r="Z43" s="1" t="str">
        <f t="shared" si="18"/>
        <v>g7</v>
      </c>
      <c r="AA43" s="1" t="str">
        <f t="shared" si="18"/>
        <v>g8</v>
      </c>
      <c r="AB43" s="1" t="str">
        <f t="shared" si="18"/>
        <v>g9</v>
      </c>
      <c r="AC43" s="1"/>
      <c r="AD43" s="1"/>
      <c r="AE43" s="1"/>
      <c r="AF43" s="1"/>
      <c r="AG43" s="1"/>
      <c r="AH43" s="1"/>
      <c r="AI43" s="1" t="str">
        <f>AI34</f>
        <v>g1</v>
      </c>
      <c r="AJ43" s="1" t="str">
        <f t="shared" ref="AJ43:AQ43" si="19">AJ34</f>
        <v>g2</v>
      </c>
      <c r="AK43" s="1" t="str">
        <f t="shared" si="19"/>
        <v>g3</v>
      </c>
      <c r="AL43" s="1" t="str">
        <f t="shared" si="19"/>
        <v>g4</v>
      </c>
      <c r="AM43" s="1" t="str">
        <f t="shared" si="19"/>
        <v>g5</v>
      </c>
      <c r="AN43" s="1" t="str">
        <f t="shared" si="19"/>
        <v>g6</v>
      </c>
      <c r="AO43" s="1" t="str">
        <f t="shared" si="19"/>
        <v>g7</v>
      </c>
      <c r="AP43" s="1" t="str">
        <f t="shared" si="19"/>
        <v>g8</v>
      </c>
      <c r="AQ43" s="1" t="str">
        <f t="shared" si="19"/>
        <v>g9</v>
      </c>
      <c r="AR43" s="1"/>
    </row>
    <row r="44" spans="3:57" ht="24.95" customHeight="1" x14ac:dyDescent="0.25">
      <c r="C44" s="1"/>
      <c r="D44" s="13" t="s">
        <v>26</v>
      </c>
      <c r="E44" s="14" t="str">
        <f t="shared" si="17"/>
        <v>gr5</v>
      </c>
      <c r="F44" s="15"/>
      <c r="G44" s="15"/>
      <c r="H44" s="15"/>
      <c r="I44" s="15"/>
      <c r="J44" s="15"/>
      <c r="K44" s="15"/>
      <c r="L44" s="15">
        <v>5</v>
      </c>
      <c r="M44" s="15">
        <v>5</v>
      </c>
      <c r="N44" s="16">
        <v>5</v>
      </c>
      <c r="O44" s="1"/>
      <c r="Q44" s="1"/>
      <c r="R44" s="1"/>
      <c r="S44" s="1" t="str">
        <f>S35</f>
        <v>gr1</v>
      </c>
      <c r="T44" s="3">
        <f t="shared" ref="T44:AA49" si="20">-(W8+AJ8+AW8+H8-$AE$8-$AR$8-$BE$8-$P$8)</f>
        <v>-5.1199999999999992</v>
      </c>
      <c r="U44" s="3">
        <f t="shared" si="20"/>
        <v>-5.1199999999999992</v>
      </c>
      <c r="V44" s="3">
        <f t="shared" si="20"/>
        <v>-2.1199999999999992</v>
      </c>
      <c r="W44" s="3">
        <f t="shared" si="20"/>
        <v>1.88</v>
      </c>
      <c r="X44" s="3">
        <f t="shared" si="20"/>
        <v>3.88</v>
      </c>
      <c r="Y44" s="3">
        <f t="shared" si="20"/>
        <v>0.87999999999999989</v>
      </c>
      <c r="Z44" s="3">
        <f t="shared" si="20"/>
        <v>-0.37999999999999901</v>
      </c>
      <c r="AA44" s="3">
        <f t="shared" si="20"/>
        <v>5.68</v>
      </c>
      <c r="AB44" s="3">
        <f>-(AE8+AR8+BE8+P8-$AE$8-$AR$8-$BE$8-$P$8)</f>
        <v>0</v>
      </c>
      <c r="AC44" s="1"/>
      <c r="AD44" s="1"/>
      <c r="AE44" s="1"/>
      <c r="AF44" s="1"/>
      <c r="AG44" s="1"/>
      <c r="AH44" s="1" t="str">
        <f>AH35</f>
        <v>gr1</v>
      </c>
      <c r="AI44" s="3">
        <f t="shared" ref="AI44:AP49" si="21">AJ22-$AR$22</f>
        <v>-5.0944055843801435</v>
      </c>
      <c r="AJ44" s="3">
        <f t="shared" si="21"/>
        <v>-5.1178182840803084</v>
      </c>
      <c r="AK44" s="3">
        <f t="shared" si="21"/>
        <v>-2.1003154932218746</v>
      </c>
      <c r="AL44" s="3">
        <f t="shared" si="21"/>
        <v>1.8979664718739251</v>
      </c>
      <c r="AM44" s="3">
        <f t="shared" si="21"/>
        <v>3.8982690262034043</v>
      </c>
      <c r="AN44" s="3">
        <f t="shared" si="21"/>
        <v>0.90009767059115264</v>
      </c>
      <c r="AO44" s="3">
        <f t="shared" si="21"/>
        <v>-0.37944300139091069</v>
      </c>
      <c r="AP44" s="3">
        <f t="shared" si="21"/>
        <v>5.6827337799461022</v>
      </c>
      <c r="AQ44" s="3">
        <f>AR22-$AR$22</f>
        <v>0</v>
      </c>
      <c r="AR44" s="1"/>
    </row>
    <row r="45" spans="3:57" ht="24.95" customHeight="1" thickBot="1" x14ac:dyDescent="0.3">
      <c r="C45" s="1"/>
      <c r="D45" s="18" t="s">
        <v>26</v>
      </c>
      <c r="E45" s="19" t="str">
        <f t="shared" si="17"/>
        <v>gr6</v>
      </c>
      <c r="F45" s="20"/>
      <c r="G45" s="20"/>
      <c r="H45" s="20"/>
      <c r="I45" s="20"/>
      <c r="J45" s="20"/>
      <c r="K45" s="20"/>
      <c r="L45" s="20">
        <v>5</v>
      </c>
      <c r="M45" s="20">
        <v>5</v>
      </c>
      <c r="N45" s="21">
        <v>5</v>
      </c>
      <c r="O45" s="1"/>
      <c r="Q45" s="1"/>
      <c r="R45" s="1"/>
      <c r="S45" s="1" t="str">
        <f t="shared" ref="S45:S49" si="22">S36</f>
        <v>gr2</v>
      </c>
      <c r="T45" s="3">
        <f t="shared" si="20"/>
        <v>-8.120000000000001</v>
      </c>
      <c r="U45" s="3">
        <f t="shared" si="20"/>
        <v>9.879999999999999</v>
      </c>
      <c r="V45" s="3">
        <f t="shared" si="20"/>
        <v>-4.1199999999999992</v>
      </c>
      <c r="W45" s="3">
        <f t="shared" si="20"/>
        <v>-0.31999999999999851</v>
      </c>
      <c r="X45" s="3">
        <f t="shared" si="20"/>
        <v>2.08</v>
      </c>
      <c r="Y45" s="3">
        <f t="shared" si="20"/>
        <v>-1.3499999999999996</v>
      </c>
      <c r="Z45" s="3">
        <f t="shared" si="20"/>
        <v>-0.11999999999999922</v>
      </c>
      <c r="AA45" s="3">
        <f t="shared" si="20"/>
        <v>5.58</v>
      </c>
      <c r="AB45" s="3">
        <f t="shared" ref="AB45:AB49" si="23">-(AE9+AR9+BE9+P9-$AE$8-$AR$8-$BE$8-$P$8)</f>
        <v>4.9799999999999995</v>
      </c>
      <c r="AC45" s="1"/>
      <c r="AD45" s="1"/>
      <c r="AE45" s="1"/>
      <c r="AF45" s="1"/>
      <c r="AG45" s="1"/>
      <c r="AH45" s="1" t="str">
        <f t="shared" ref="AH45:AH49" si="24">AH36</f>
        <v>gr2</v>
      </c>
      <c r="AI45" s="3">
        <f t="shared" si="21"/>
        <v>-8.2334723887446479</v>
      </c>
      <c r="AJ45" s="3">
        <f t="shared" si="21"/>
        <v>9.6648499411442277</v>
      </c>
      <c r="AK45" s="3">
        <f t="shared" si="21"/>
        <v>-4.2461106762402121</v>
      </c>
      <c r="AL45" s="3">
        <f t="shared" si="21"/>
        <v>-0.44752938435450051</v>
      </c>
      <c r="AM45" s="3">
        <f t="shared" si="21"/>
        <v>1.9519908422918586</v>
      </c>
      <c r="AN45" s="3">
        <f t="shared" si="21"/>
        <v>-1.4747610350900122</v>
      </c>
      <c r="AO45" s="3">
        <f t="shared" si="21"/>
        <v>-0.2752964582146889</v>
      </c>
      <c r="AP45" s="3">
        <f t="shared" si="21"/>
        <v>5.4267077782175566</v>
      </c>
      <c r="AQ45" s="3">
        <f t="shared" ref="AQ45:AQ49" si="25">AR23-$AR$22</f>
        <v>4.805038634524502</v>
      </c>
      <c r="AR45" s="1"/>
    </row>
    <row r="46" spans="3:57" ht="24.95" customHeight="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1"/>
      <c r="R46" s="1"/>
      <c r="S46" s="1" t="str">
        <f t="shared" si="22"/>
        <v>gr3</v>
      </c>
      <c r="T46" s="3">
        <f t="shared" si="20"/>
        <v>11.879999999999999</v>
      </c>
      <c r="U46" s="3">
        <f t="shared" si="20"/>
        <v>-14.120000000000001</v>
      </c>
      <c r="V46" s="3">
        <f t="shared" si="20"/>
        <v>-1.1199999999999992</v>
      </c>
      <c r="W46" s="3">
        <f t="shared" si="20"/>
        <v>2.62</v>
      </c>
      <c r="X46" s="3">
        <f t="shared" si="20"/>
        <v>5.1800000000000006</v>
      </c>
      <c r="Y46" s="3">
        <f t="shared" si="20"/>
        <v>1.9799999999999995</v>
      </c>
      <c r="Z46" s="3">
        <f t="shared" si="20"/>
        <v>-4.0199999999999996</v>
      </c>
      <c r="AA46" s="3">
        <f t="shared" si="20"/>
        <v>5.65</v>
      </c>
      <c r="AB46" s="3">
        <f t="shared" si="23"/>
        <v>4.0000000000000036E-2</v>
      </c>
      <c r="AC46" s="1"/>
      <c r="AD46" s="1"/>
      <c r="AE46" s="1"/>
      <c r="AF46" s="1"/>
      <c r="AG46" s="1"/>
      <c r="AH46" s="1" t="str">
        <f t="shared" si="24"/>
        <v>gr3</v>
      </c>
      <c r="AI46" s="3">
        <f t="shared" si="21"/>
        <v>12.012476797307597</v>
      </c>
      <c r="AJ46" s="3">
        <f t="shared" si="21"/>
        <v>-13.904541429858682</v>
      </c>
      <c r="AK46" s="3">
        <f t="shared" si="21"/>
        <v>-0.9331175551240728</v>
      </c>
      <c r="AL46" s="3">
        <f t="shared" si="21"/>
        <v>2.8066966604312107</v>
      </c>
      <c r="AM46" s="3">
        <f t="shared" si="21"/>
        <v>5.3638152222044964</v>
      </c>
      <c r="AN46" s="3">
        <f t="shared" si="21"/>
        <v>2.1666285597337871</v>
      </c>
      <c r="AO46" s="3">
        <f t="shared" si="21"/>
        <v>-3.8309281733264893</v>
      </c>
      <c r="AP46" s="3">
        <f t="shared" si="21"/>
        <v>5.8296790224062489</v>
      </c>
      <c r="AQ46" s="3">
        <f t="shared" si="25"/>
        <v>0.21716108211583293</v>
      </c>
      <c r="AR46" s="1"/>
    </row>
    <row r="47" spans="3:57" ht="24.95" customHeight="1" x14ac:dyDescent="0.25">
      <c r="Q47" s="1"/>
      <c r="R47" s="1"/>
      <c r="S47" s="1" t="str">
        <f t="shared" si="22"/>
        <v>gr4</v>
      </c>
      <c r="T47" s="3">
        <f t="shared" si="20"/>
        <v>2.88</v>
      </c>
      <c r="U47" s="3">
        <f t="shared" si="20"/>
        <v>-19.12</v>
      </c>
      <c r="V47" s="3">
        <f t="shared" si="20"/>
        <v>-7.1199999999999992</v>
      </c>
      <c r="W47" s="3">
        <f t="shared" si="20"/>
        <v>-2.76</v>
      </c>
      <c r="X47" s="3">
        <f t="shared" si="20"/>
        <v>-0.88999999999999879</v>
      </c>
      <c r="Y47" s="3">
        <f t="shared" si="20"/>
        <v>-4.0999999999999996</v>
      </c>
      <c r="Z47" s="3">
        <f t="shared" si="20"/>
        <v>-0.12999999999999901</v>
      </c>
      <c r="AA47" s="3">
        <f t="shared" si="20"/>
        <v>-3.1999999999999993</v>
      </c>
      <c r="AB47" s="3">
        <f t="shared" si="23"/>
        <v>-0.36999999999999922</v>
      </c>
      <c r="AC47" s="1"/>
      <c r="AD47" s="1"/>
      <c r="AE47" s="1"/>
      <c r="AF47" s="1"/>
      <c r="AG47" s="1"/>
      <c r="AH47" s="1" t="str">
        <f t="shared" si="24"/>
        <v>gr4</v>
      </c>
      <c r="AI47" s="3">
        <f t="shared" si="21"/>
        <v>2.9860359819498177</v>
      </c>
      <c r="AJ47" s="3">
        <f t="shared" si="21"/>
        <v>-18.937506347588279</v>
      </c>
      <c r="AK47" s="3">
        <f t="shared" si="21"/>
        <v>-6.9538827583714475</v>
      </c>
      <c r="AL47" s="3">
        <f t="shared" si="21"/>
        <v>-2.5971559203429901</v>
      </c>
      <c r="AM47" s="3">
        <f t="shared" si="21"/>
        <v>-0.725864566225631</v>
      </c>
      <c r="AN47" s="3">
        <f t="shared" si="21"/>
        <v>-3.9334379712463949</v>
      </c>
      <c r="AO47" s="3">
        <f t="shared" si="21"/>
        <v>-6.9609453552181184E-3</v>
      </c>
      <c r="AP47" s="3">
        <f t="shared" si="21"/>
        <v>-3.0390924158471537</v>
      </c>
      <c r="AQ47" s="3">
        <f t="shared" si="25"/>
        <v>-0.2477512571666306</v>
      </c>
      <c r="AR47" s="1"/>
    </row>
    <row r="48" spans="3:57" ht="24.95" customHeight="1" x14ac:dyDescent="0.25">
      <c r="Q48" s="1"/>
      <c r="R48" s="1"/>
      <c r="S48" s="1" t="str">
        <f t="shared" si="22"/>
        <v>gr5</v>
      </c>
      <c r="T48" s="3">
        <f t="shared" si="20"/>
        <v>21.880000000000003</v>
      </c>
      <c r="U48" s="3">
        <f t="shared" si="20"/>
        <v>11.879999999999999</v>
      </c>
      <c r="V48" s="3">
        <f t="shared" si="20"/>
        <v>0.37999999999999989</v>
      </c>
      <c r="W48" s="3">
        <f t="shared" si="20"/>
        <v>3.9300000000000006</v>
      </c>
      <c r="X48" s="3">
        <f t="shared" si="20"/>
        <v>6.62</v>
      </c>
      <c r="Y48" s="3">
        <f t="shared" si="20"/>
        <v>3.37</v>
      </c>
      <c r="Z48" s="3">
        <f t="shared" si="20"/>
        <v>-0.19999999999999929</v>
      </c>
      <c r="AA48" s="3">
        <f t="shared" si="20"/>
        <v>5.58</v>
      </c>
      <c r="AB48" s="3">
        <f t="shared" si="23"/>
        <v>-3.24</v>
      </c>
      <c r="AC48" s="1"/>
      <c r="AD48" s="1"/>
      <c r="AE48" s="1"/>
      <c r="AF48" s="1"/>
      <c r="AG48" s="1"/>
      <c r="AH48" s="1" t="str">
        <f t="shared" si="24"/>
        <v>gr5</v>
      </c>
      <c r="AI48" s="3">
        <f t="shared" si="21"/>
        <v>22.068565858422971</v>
      </c>
      <c r="AJ48" s="3">
        <f t="shared" si="21"/>
        <v>12.081207606069663</v>
      </c>
      <c r="AK48" s="3">
        <f t="shared" si="21"/>
        <v>0.65825712153862892</v>
      </c>
      <c r="AL48" s="3">
        <f t="shared" si="21"/>
        <v>4.2081025450859375</v>
      </c>
      <c r="AM48" s="3">
        <f t="shared" si="21"/>
        <v>6.896037881177052</v>
      </c>
      <c r="AN48" s="3">
        <f t="shared" si="21"/>
        <v>3.6486207919935634</v>
      </c>
      <c r="AO48" s="3">
        <f t="shared" si="21"/>
        <v>7.2693308199749299E-2</v>
      </c>
      <c r="AP48" s="3">
        <f t="shared" si="21"/>
        <v>5.8548043000349859</v>
      </c>
      <c r="AQ48" s="3">
        <f t="shared" si="25"/>
        <v>-2.9601606971653953</v>
      </c>
      <c r="AR48" s="1"/>
    </row>
    <row r="49" spans="17:44" ht="24.95" customHeight="1" x14ac:dyDescent="0.25">
      <c r="Q49" s="1"/>
      <c r="R49" s="1"/>
      <c r="S49" s="1" t="str">
        <f t="shared" si="22"/>
        <v>gr6</v>
      </c>
      <c r="T49" s="3">
        <f t="shared" si="20"/>
        <v>0.37999999999999989</v>
      </c>
      <c r="U49" s="3">
        <f t="shared" si="20"/>
        <v>-5.1199999999999992</v>
      </c>
      <c r="V49" s="3">
        <f t="shared" si="20"/>
        <v>-11.120000000000001</v>
      </c>
      <c r="W49" s="3">
        <f t="shared" si="20"/>
        <v>-7.1999999999999993</v>
      </c>
      <c r="X49" s="3">
        <f t="shared" si="20"/>
        <v>-4.8199999999999985</v>
      </c>
      <c r="Y49" s="3">
        <f t="shared" si="20"/>
        <v>-8.7200000000000024</v>
      </c>
      <c r="Z49" s="3">
        <f t="shared" si="20"/>
        <v>-0.23999999999999844</v>
      </c>
      <c r="AA49" s="3">
        <f t="shared" si="20"/>
        <v>5.84</v>
      </c>
      <c r="AB49" s="3">
        <f t="shared" si="23"/>
        <v>-0.31999999999999851</v>
      </c>
      <c r="AC49" s="1"/>
      <c r="AD49" s="1"/>
      <c r="AE49" s="1"/>
      <c r="AF49" s="1"/>
      <c r="AG49" s="1"/>
      <c r="AH49" s="1" t="str">
        <f t="shared" si="24"/>
        <v>gr6</v>
      </c>
      <c r="AI49" s="3">
        <f t="shared" si="21"/>
        <v>0.3641938369387655</v>
      </c>
      <c r="AJ49" s="3">
        <f t="shared" si="21"/>
        <v>-5.1351478876547381</v>
      </c>
      <c r="AK49" s="3">
        <f t="shared" si="21"/>
        <v>-11.080814839715179</v>
      </c>
      <c r="AL49" s="3">
        <f t="shared" si="21"/>
        <v>-7.1622556838526821</v>
      </c>
      <c r="AM49" s="3">
        <f t="shared" si="21"/>
        <v>-4.7832798386884399</v>
      </c>
      <c r="AN49" s="3">
        <f t="shared" si="21"/>
        <v>-8.6779560503336128</v>
      </c>
      <c r="AO49" s="3">
        <f t="shared" si="21"/>
        <v>-0.25685803336725732</v>
      </c>
      <c r="AP49" s="3">
        <f t="shared" si="21"/>
        <v>5.8249151030454618</v>
      </c>
      <c r="AQ49" s="3">
        <f t="shared" si="25"/>
        <v>-0.33741904174100568</v>
      </c>
      <c r="AR49" s="1"/>
    </row>
    <row r="50" spans="17:44" ht="24.95" customHeight="1" x14ac:dyDescent="0.25"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</sheetData>
  <conditionalFormatting sqref="AI21">
    <cfRule type="colorScale" priority="11">
      <colorScale>
        <cfvo type="num" val="$J$2"/>
        <cfvo type="num" val="0"/>
        <cfvo type="num" val="$L$2"/>
        <color rgb="FF0070C0"/>
        <color theme="0"/>
        <color rgb="FFFF0000"/>
      </colorScale>
    </cfRule>
  </conditionalFormatting>
  <conditionalFormatting sqref="AI28">
    <cfRule type="colorScale" priority="10">
      <colorScale>
        <cfvo type="num" val="$J$2"/>
        <cfvo type="num" val="0"/>
        <cfvo type="num" val="$L$2"/>
        <color rgb="FF0070C0"/>
        <color theme="0"/>
        <color rgb="FFFF0000"/>
      </colorScale>
    </cfRule>
  </conditionalFormatting>
  <conditionalFormatting sqref="U23:AC27 V22:AC22">
    <cfRule type="colorScale" priority="18">
      <colorScale>
        <cfvo type="num" val="$H$4"/>
        <cfvo type="num" val="$I$4"/>
        <color rgb="FF0070C0"/>
        <color rgb="FFFF0000"/>
      </colorScale>
    </cfRule>
  </conditionalFormatting>
  <conditionalFormatting sqref="U22:AC27">
    <cfRule type="colorScale" priority="17">
      <colorScale>
        <cfvo type="num" val="-1E-3"/>
        <cfvo type="num" val="$H$4"/>
        <cfvo type="num" val="$I$4"/>
        <color theme="1"/>
        <color rgb="FF00B0F0"/>
        <color rgb="FFFF0000"/>
      </colorScale>
    </cfRule>
  </conditionalFormatting>
  <conditionalFormatting sqref="H8:P13">
    <cfRule type="colorScale" priority="16">
      <colorScale>
        <cfvo type="min"/>
        <cfvo type="max"/>
        <color rgb="FF00B0F0"/>
        <color rgb="FFFF0000"/>
      </colorScale>
    </cfRule>
  </conditionalFormatting>
  <conditionalFormatting sqref="R8:R13">
    <cfRule type="colorScale" priority="15">
      <colorScale>
        <cfvo type="min"/>
        <cfvo type="max"/>
        <color rgb="FF00B0F0"/>
        <color rgb="FFFF0000"/>
      </colorScale>
    </cfRule>
  </conditionalFormatting>
  <conditionalFormatting sqref="W8:AE13">
    <cfRule type="colorScale" priority="14">
      <colorScale>
        <cfvo type="min"/>
        <cfvo type="max"/>
        <color rgb="FF00B0F0"/>
        <color rgb="FFFF0000"/>
      </colorScale>
    </cfRule>
  </conditionalFormatting>
  <conditionalFormatting sqref="AJ8:AR13">
    <cfRule type="colorScale" priority="13">
      <colorScale>
        <cfvo type="min"/>
        <cfvo type="max"/>
        <color rgb="FF00B0F0"/>
        <color rgb="FFFF0000"/>
      </colorScale>
    </cfRule>
  </conditionalFormatting>
  <conditionalFormatting sqref="AW8:BE13">
    <cfRule type="colorScale" priority="12">
      <colorScale>
        <cfvo type="min"/>
        <cfvo type="max"/>
        <color rgb="FF00B0F0"/>
        <color rgb="FFFF0000"/>
      </colorScale>
    </cfRule>
  </conditionalFormatting>
  <conditionalFormatting sqref="AJ22:AR27">
    <cfRule type="colorScale" priority="9">
      <colorScale>
        <cfvo type="min"/>
        <cfvo type="max"/>
        <color rgb="FF00B0F0"/>
        <color rgb="FFFF0000"/>
      </colorScale>
    </cfRule>
  </conditionalFormatting>
  <conditionalFormatting sqref="T35:AB40">
    <cfRule type="colorScale" priority="8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AI35:AQ40">
    <cfRule type="colorScale" priority="7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F22:N27">
    <cfRule type="colorScale" priority="6">
      <colorScale>
        <cfvo type="min"/>
        <cfvo type="max"/>
        <color rgb="FF00B0F0"/>
        <color rgb="FFFF0000"/>
      </colorScale>
    </cfRule>
  </conditionalFormatting>
  <conditionalFormatting sqref="F40:L45">
    <cfRule type="colorScale" priority="5">
      <colorScale>
        <cfvo type="min"/>
        <cfvo type="max"/>
        <color rgb="FFFF0000"/>
        <color rgb="FF92D050"/>
      </colorScale>
    </cfRule>
  </conditionalFormatting>
  <conditionalFormatting sqref="F32:N37">
    <cfRule type="colorScale" priority="4">
      <colorScale>
        <cfvo type="min"/>
        <cfvo type="max"/>
        <color rgb="FFFF0000"/>
        <color rgb="FF92D050"/>
      </colorScale>
    </cfRule>
  </conditionalFormatting>
  <conditionalFormatting sqref="M40:N45">
    <cfRule type="colorScale" priority="3">
      <colorScale>
        <cfvo type="min"/>
        <cfvo type="max"/>
        <color rgb="FFFF0000"/>
        <color rgb="FF92D050"/>
      </colorScale>
    </cfRule>
  </conditionalFormatting>
  <conditionalFormatting sqref="T44:AB49">
    <cfRule type="colorScale" priority="2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AI44:AQ49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F50"/>
  <sheetViews>
    <sheetView topLeftCell="A6" zoomScale="55" zoomScaleNormal="55" workbookViewId="0">
      <selection activeCell="BB48" sqref="BB48"/>
    </sheetView>
  </sheetViews>
  <sheetFormatPr defaultColWidth="5.7109375" defaultRowHeight="24.95" customHeight="1" x14ac:dyDescent="0.25"/>
  <sheetData>
    <row r="4" spans="2:58" ht="24.95" customHeight="1" x14ac:dyDescent="0.25">
      <c r="H4">
        <v>0</v>
      </c>
      <c r="I4">
        <v>50</v>
      </c>
    </row>
    <row r="5" spans="2:58" ht="24.9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2:58" ht="24.9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2:58" ht="24.95" customHeight="1" x14ac:dyDescent="0.5">
      <c r="B7" s="1"/>
      <c r="C7" s="1"/>
      <c r="D7" s="1"/>
      <c r="E7" s="1"/>
      <c r="F7" s="1"/>
      <c r="G7" s="2" t="s">
        <v>0</v>
      </c>
      <c r="H7" s="3" t="s">
        <v>1</v>
      </c>
      <c r="I7" s="3" t="s">
        <v>2</v>
      </c>
      <c r="J7" s="3" t="s">
        <v>3</v>
      </c>
      <c r="K7" s="3" t="s">
        <v>4</v>
      </c>
      <c r="L7" s="3" t="s">
        <v>5</v>
      </c>
      <c r="M7" s="3" t="s">
        <v>6</v>
      </c>
      <c r="N7" s="3" t="s">
        <v>7</v>
      </c>
      <c r="O7" s="3" t="s">
        <v>8</v>
      </c>
      <c r="P7" s="3" t="s">
        <v>9</v>
      </c>
      <c r="Q7" s="1"/>
      <c r="R7" s="1"/>
      <c r="S7" s="1"/>
      <c r="T7" s="1"/>
      <c r="U7" s="1"/>
      <c r="V7" s="2" t="s">
        <v>10</v>
      </c>
      <c r="W7" s="3" t="s">
        <v>1</v>
      </c>
      <c r="X7" s="3" t="s">
        <v>2</v>
      </c>
      <c r="Y7" s="3" t="s">
        <v>3</v>
      </c>
      <c r="Z7" s="3" t="s">
        <v>4</v>
      </c>
      <c r="AA7" s="3" t="s">
        <v>5</v>
      </c>
      <c r="AB7" s="3" t="s">
        <v>6</v>
      </c>
      <c r="AC7" s="3" t="s">
        <v>7</v>
      </c>
      <c r="AD7" s="3" t="s">
        <v>8</v>
      </c>
      <c r="AE7" s="3" t="s">
        <v>9</v>
      </c>
      <c r="AF7" s="1"/>
      <c r="AG7" s="1"/>
      <c r="AH7" s="1"/>
      <c r="AI7" s="2" t="s">
        <v>10</v>
      </c>
      <c r="AJ7" s="1" t="s">
        <v>1</v>
      </c>
      <c r="AK7" s="1" t="s">
        <v>2</v>
      </c>
      <c r="AL7" s="1" t="s">
        <v>3</v>
      </c>
      <c r="AM7" s="1" t="s">
        <v>4</v>
      </c>
      <c r="AN7" s="1" t="s">
        <v>5</v>
      </c>
      <c r="AO7" s="1" t="s">
        <v>6</v>
      </c>
      <c r="AP7" s="1" t="s">
        <v>7</v>
      </c>
      <c r="AQ7" s="1" t="s">
        <v>8</v>
      </c>
      <c r="AR7" s="1" t="s">
        <v>9</v>
      </c>
      <c r="AS7" s="1"/>
      <c r="AT7" s="1"/>
      <c r="AU7" s="1"/>
      <c r="AV7" s="2" t="s">
        <v>10</v>
      </c>
      <c r="AW7" s="1" t="s">
        <v>1</v>
      </c>
      <c r="AX7" s="1" t="s">
        <v>2</v>
      </c>
      <c r="AY7" s="1" t="s">
        <v>3</v>
      </c>
      <c r="AZ7" s="1" t="s">
        <v>4</v>
      </c>
      <c r="BA7" s="1" t="s">
        <v>5</v>
      </c>
      <c r="BB7" s="1" t="s">
        <v>6</v>
      </c>
      <c r="BC7" s="1" t="s">
        <v>7</v>
      </c>
      <c r="BD7" s="1" t="s">
        <v>8</v>
      </c>
      <c r="BE7" s="1" t="s">
        <v>9</v>
      </c>
      <c r="BF7" s="1"/>
    </row>
    <row r="8" spans="2:58" ht="24.95" customHeight="1" x14ac:dyDescent="0.25">
      <c r="B8" s="1"/>
      <c r="C8" s="1"/>
      <c r="D8" s="1"/>
      <c r="E8" s="1"/>
      <c r="F8" s="1"/>
      <c r="G8" s="1" t="s">
        <v>11</v>
      </c>
      <c r="H8" s="3">
        <v>1</v>
      </c>
      <c r="I8" s="3">
        <v>5</v>
      </c>
      <c r="J8" s="3">
        <v>7</v>
      </c>
      <c r="K8" s="3">
        <v>3</v>
      </c>
      <c r="L8" s="3">
        <v>1</v>
      </c>
      <c r="M8" s="3">
        <v>4</v>
      </c>
      <c r="N8" s="3">
        <v>8</v>
      </c>
      <c r="O8" s="3">
        <v>2</v>
      </c>
      <c r="P8" s="3">
        <v>8</v>
      </c>
      <c r="Q8" s="1"/>
      <c r="R8" s="3">
        <v>11</v>
      </c>
      <c r="S8" s="1"/>
      <c r="T8" s="1"/>
      <c r="U8" s="1"/>
      <c r="V8" s="1" t="s">
        <v>11</v>
      </c>
      <c r="W8" s="3">
        <v>12</v>
      </c>
      <c r="X8" s="3">
        <v>8</v>
      </c>
      <c r="Y8" s="3">
        <v>0</v>
      </c>
      <c r="Z8" s="3" t="s">
        <v>27</v>
      </c>
      <c r="AA8" s="3">
        <v>0</v>
      </c>
      <c r="AB8" s="3">
        <v>0</v>
      </c>
      <c r="AC8" s="3">
        <v>0.26</v>
      </c>
      <c r="AD8" s="3" t="s">
        <v>27</v>
      </c>
      <c r="AE8" s="3">
        <v>-0.12</v>
      </c>
      <c r="AF8" s="1"/>
      <c r="AG8" s="1"/>
      <c r="AH8" s="1"/>
      <c r="AI8" s="1" t="s">
        <v>11</v>
      </c>
      <c r="AJ8" s="3">
        <v>0</v>
      </c>
      <c r="AK8" s="3">
        <v>0</v>
      </c>
      <c r="AL8" s="3">
        <v>3</v>
      </c>
      <c r="AM8" s="3">
        <v>3</v>
      </c>
      <c r="AN8" s="3">
        <v>3</v>
      </c>
      <c r="AO8" s="3">
        <v>3</v>
      </c>
      <c r="AP8" s="3">
        <v>0</v>
      </c>
      <c r="AQ8" s="3">
        <v>0</v>
      </c>
      <c r="AR8" s="3">
        <v>0</v>
      </c>
      <c r="AS8" s="1"/>
      <c r="AT8" s="1"/>
      <c r="AU8" s="1"/>
      <c r="AV8" s="1" t="s">
        <v>11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1"/>
    </row>
    <row r="9" spans="2:58" ht="24.95" customHeight="1" x14ac:dyDescent="0.25">
      <c r="B9" s="1"/>
      <c r="C9" s="1"/>
      <c r="D9" s="1"/>
      <c r="E9" s="1"/>
      <c r="F9" s="1"/>
      <c r="G9" s="1" t="s">
        <v>12</v>
      </c>
      <c r="H9" s="3">
        <v>1</v>
      </c>
      <c r="I9" s="3">
        <v>5</v>
      </c>
      <c r="J9" s="3">
        <v>7</v>
      </c>
      <c r="K9" s="3">
        <v>3</v>
      </c>
      <c r="L9" s="3">
        <v>1</v>
      </c>
      <c r="M9" s="3">
        <v>4</v>
      </c>
      <c r="N9" s="3">
        <v>8</v>
      </c>
      <c r="O9" s="3">
        <v>2</v>
      </c>
      <c r="P9" s="3">
        <v>8</v>
      </c>
      <c r="Q9" s="1"/>
      <c r="R9" s="3">
        <v>4</v>
      </c>
      <c r="S9" s="1"/>
      <c r="T9" s="1"/>
      <c r="U9" s="1"/>
      <c r="V9" s="1" t="s">
        <v>12</v>
      </c>
      <c r="W9" s="3">
        <v>15</v>
      </c>
      <c r="X9" s="3">
        <v>-7</v>
      </c>
      <c r="Y9" s="3" t="s">
        <v>27</v>
      </c>
      <c r="Z9" s="3" t="s">
        <v>27</v>
      </c>
      <c r="AA9" s="3">
        <v>-0.20000000000000018</v>
      </c>
      <c r="AB9" s="3">
        <v>0.23000000000000043</v>
      </c>
      <c r="AC9" s="3">
        <v>0</v>
      </c>
      <c r="AD9" s="3">
        <v>0.3</v>
      </c>
      <c r="AE9" s="3" t="s">
        <v>27</v>
      </c>
      <c r="AF9" s="1"/>
      <c r="AG9" s="1"/>
      <c r="AH9" s="1"/>
      <c r="AI9" s="1" t="s">
        <v>12</v>
      </c>
      <c r="AJ9" s="3">
        <v>0</v>
      </c>
      <c r="AK9" s="3">
        <v>0</v>
      </c>
      <c r="AL9" s="3">
        <v>5</v>
      </c>
      <c r="AM9" s="3">
        <v>5</v>
      </c>
      <c r="AN9" s="3">
        <v>5</v>
      </c>
      <c r="AO9" s="3">
        <v>5</v>
      </c>
      <c r="AP9" s="3">
        <v>0</v>
      </c>
      <c r="AQ9" s="3">
        <v>0</v>
      </c>
      <c r="AR9" s="3">
        <v>0</v>
      </c>
      <c r="AS9" s="1"/>
      <c r="AT9" s="1"/>
      <c r="AU9" s="1"/>
      <c r="AV9" s="1" t="s">
        <v>12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1"/>
    </row>
    <row r="10" spans="2:58" ht="24.95" customHeight="1" x14ac:dyDescent="0.25">
      <c r="B10" s="1"/>
      <c r="C10" s="1"/>
      <c r="D10" s="1"/>
      <c r="E10" s="1"/>
      <c r="F10" s="1"/>
      <c r="G10" s="1" t="s">
        <v>13</v>
      </c>
      <c r="H10" s="3">
        <v>1</v>
      </c>
      <c r="I10" s="3">
        <v>5</v>
      </c>
      <c r="J10" s="3">
        <v>7</v>
      </c>
      <c r="K10" s="3">
        <v>3</v>
      </c>
      <c r="L10" s="3">
        <v>1</v>
      </c>
      <c r="M10" s="3">
        <v>4</v>
      </c>
      <c r="N10" s="3">
        <v>8</v>
      </c>
      <c r="O10" s="3">
        <v>2</v>
      </c>
      <c r="P10" s="3">
        <v>8</v>
      </c>
      <c r="Q10" s="1"/>
      <c r="R10" s="3">
        <v>20</v>
      </c>
      <c r="S10" s="1"/>
      <c r="T10" s="1"/>
      <c r="U10" s="1"/>
      <c r="V10" s="1" t="s">
        <v>13</v>
      </c>
      <c r="W10" s="3">
        <v>-5</v>
      </c>
      <c r="X10" s="3">
        <v>17</v>
      </c>
      <c r="Y10" s="3" t="s">
        <v>27</v>
      </c>
      <c r="Z10" s="3" t="s">
        <v>27</v>
      </c>
      <c r="AA10" s="3">
        <v>-0.30000000000000071</v>
      </c>
      <c r="AB10" s="3">
        <v>-0.10000000000000009</v>
      </c>
      <c r="AC10" s="3" t="s">
        <v>27</v>
      </c>
      <c r="AD10" s="3">
        <v>0.23</v>
      </c>
      <c r="AE10" s="3">
        <v>-0.16</v>
      </c>
      <c r="AF10" s="1"/>
      <c r="AG10" s="1"/>
      <c r="AH10" s="1"/>
      <c r="AI10" s="1" t="s">
        <v>13</v>
      </c>
      <c r="AJ10" s="3">
        <v>0</v>
      </c>
      <c r="AK10" s="3">
        <v>0</v>
      </c>
      <c r="AL10" s="3">
        <v>2</v>
      </c>
      <c r="AM10" s="3">
        <v>2</v>
      </c>
      <c r="AN10" s="3">
        <v>2</v>
      </c>
      <c r="AO10" s="3">
        <v>2</v>
      </c>
      <c r="AP10" s="3">
        <v>0</v>
      </c>
      <c r="AQ10" s="3">
        <v>0</v>
      </c>
      <c r="AR10" s="3">
        <v>0</v>
      </c>
      <c r="AS10" s="1"/>
      <c r="AT10" s="1"/>
      <c r="AU10" s="1"/>
      <c r="AV10" s="1" t="s">
        <v>13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1"/>
    </row>
    <row r="11" spans="2:58" ht="24.95" customHeight="1" x14ac:dyDescent="0.25">
      <c r="B11" s="1"/>
      <c r="C11" s="1"/>
      <c r="D11" s="1"/>
      <c r="E11" s="1"/>
      <c r="F11" s="1"/>
      <c r="G11" s="1" t="s">
        <v>14</v>
      </c>
      <c r="H11" s="3">
        <v>1</v>
      </c>
      <c r="I11" s="3">
        <v>5</v>
      </c>
      <c r="J11" s="3">
        <v>7</v>
      </c>
      <c r="K11" s="3">
        <v>3</v>
      </c>
      <c r="L11" s="3">
        <v>1</v>
      </c>
      <c r="M11" s="3">
        <v>4</v>
      </c>
      <c r="N11" s="3">
        <v>8</v>
      </c>
      <c r="O11" s="3">
        <v>2</v>
      </c>
      <c r="P11" s="3">
        <v>8</v>
      </c>
      <c r="Q11" s="1"/>
      <c r="R11" s="3">
        <v>35</v>
      </c>
      <c r="S11" s="1"/>
      <c r="T11" s="1"/>
      <c r="U11" s="1"/>
      <c r="V11" s="1" t="s">
        <v>14</v>
      </c>
      <c r="W11" s="3">
        <v>4</v>
      </c>
      <c r="X11" s="3">
        <v>22</v>
      </c>
      <c r="Y11" s="3" t="s">
        <v>27</v>
      </c>
      <c r="Z11" s="3" t="s">
        <v>27</v>
      </c>
      <c r="AA11" s="3">
        <v>-0.23000000000000043</v>
      </c>
      <c r="AB11" s="3">
        <v>-1.9999999999999574E-2</v>
      </c>
      <c r="AC11" s="3">
        <v>0.01</v>
      </c>
      <c r="AD11" s="3" t="s">
        <v>27</v>
      </c>
      <c r="AE11" s="3">
        <v>0.25</v>
      </c>
      <c r="AF11" s="1"/>
      <c r="AG11" s="1"/>
      <c r="AH11" s="1"/>
      <c r="AI11" s="1" t="s">
        <v>14</v>
      </c>
      <c r="AJ11" s="3">
        <v>0</v>
      </c>
      <c r="AK11" s="3">
        <v>0</v>
      </c>
      <c r="AL11" s="3">
        <v>8</v>
      </c>
      <c r="AM11" s="3">
        <v>8</v>
      </c>
      <c r="AN11" s="3">
        <v>8</v>
      </c>
      <c r="AO11" s="3">
        <v>8</v>
      </c>
      <c r="AP11" s="3">
        <v>0</v>
      </c>
      <c r="AQ11" s="3">
        <v>0</v>
      </c>
      <c r="AR11" s="3">
        <v>0</v>
      </c>
      <c r="AS11" s="1"/>
      <c r="AT11" s="1"/>
      <c r="AU11" s="1"/>
      <c r="AV11" s="1" t="s">
        <v>14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1"/>
    </row>
    <row r="12" spans="2:58" ht="24.95" customHeight="1" x14ac:dyDescent="0.25">
      <c r="B12" s="1"/>
      <c r="C12" s="1"/>
      <c r="D12" s="1"/>
      <c r="E12" s="1"/>
      <c r="F12" s="1"/>
      <c r="G12" s="1" t="s">
        <v>15</v>
      </c>
      <c r="H12" s="3">
        <v>1</v>
      </c>
      <c r="I12" s="3">
        <v>5</v>
      </c>
      <c r="J12" s="3">
        <v>7</v>
      </c>
      <c r="K12" s="3">
        <v>3</v>
      </c>
      <c r="L12" s="3">
        <v>1</v>
      </c>
      <c r="M12" s="3">
        <v>4</v>
      </c>
      <c r="N12" s="3">
        <v>8</v>
      </c>
      <c r="O12" s="3">
        <v>2</v>
      </c>
      <c r="P12" s="3">
        <v>8</v>
      </c>
      <c r="Q12" s="1"/>
      <c r="R12" s="3">
        <v>15</v>
      </c>
      <c r="S12" s="1"/>
      <c r="T12" s="1"/>
      <c r="U12" s="1"/>
      <c r="V12" s="1" t="s">
        <v>15</v>
      </c>
      <c r="W12" s="3">
        <v>-15</v>
      </c>
      <c r="X12" s="3">
        <v>-9</v>
      </c>
      <c r="Y12" s="3" t="s">
        <v>27</v>
      </c>
      <c r="Z12" s="3" t="s">
        <v>27</v>
      </c>
      <c r="AA12" s="3">
        <v>-0.24000000000000021</v>
      </c>
      <c r="AB12" s="3">
        <v>1.0000000000000009E-2</v>
      </c>
      <c r="AC12" s="3">
        <v>0.08</v>
      </c>
      <c r="AD12" s="3">
        <v>0.3</v>
      </c>
      <c r="AE12" s="3" t="s">
        <v>27</v>
      </c>
      <c r="AF12" s="1"/>
      <c r="AG12" s="1"/>
      <c r="AH12" s="1"/>
      <c r="AI12" s="1" t="s">
        <v>15</v>
      </c>
      <c r="AJ12" s="3">
        <v>0</v>
      </c>
      <c r="AK12" s="3">
        <v>0</v>
      </c>
      <c r="AL12" s="3">
        <v>0.5</v>
      </c>
      <c r="AM12" s="3">
        <v>0.5</v>
      </c>
      <c r="AN12" s="3">
        <v>0.5</v>
      </c>
      <c r="AO12" s="3">
        <v>0.5</v>
      </c>
      <c r="AP12" s="3">
        <v>0</v>
      </c>
      <c r="AQ12" s="3">
        <v>0</v>
      </c>
      <c r="AR12" s="3">
        <v>0</v>
      </c>
      <c r="AS12" s="1"/>
      <c r="AT12" s="1"/>
      <c r="AU12" s="1"/>
      <c r="AV12" s="1" t="s">
        <v>15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1"/>
    </row>
    <row r="13" spans="2:58" ht="24.95" customHeight="1" x14ac:dyDescent="0.25">
      <c r="B13" s="1"/>
      <c r="C13" s="1"/>
      <c r="D13" s="1"/>
      <c r="E13" s="1"/>
      <c r="F13" s="1"/>
      <c r="G13" s="1" t="s">
        <v>16</v>
      </c>
      <c r="H13" s="3">
        <v>1</v>
      </c>
      <c r="I13" s="3">
        <v>5</v>
      </c>
      <c r="J13" s="3">
        <v>7</v>
      </c>
      <c r="K13" s="3">
        <v>3</v>
      </c>
      <c r="L13" s="3">
        <v>1</v>
      </c>
      <c r="M13" s="3">
        <v>4</v>
      </c>
      <c r="N13" s="3">
        <v>8</v>
      </c>
      <c r="O13" s="3">
        <v>2</v>
      </c>
      <c r="P13" s="3">
        <v>8</v>
      </c>
      <c r="Q13" s="1"/>
      <c r="R13" s="3">
        <v>9</v>
      </c>
      <c r="S13" s="1"/>
      <c r="T13" s="1"/>
      <c r="U13" s="1"/>
      <c r="V13" s="1" t="s">
        <v>16</v>
      </c>
      <c r="W13" s="3">
        <v>6.5</v>
      </c>
      <c r="X13" s="3">
        <v>8</v>
      </c>
      <c r="Y13" s="3" t="s">
        <v>27</v>
      </c>
      <c r="Z13" s="3" t="s">
        <v>27</v>
      </c>
      <c r="AA13" s="3">
        <v>-0.30000000000000071</v>
      </c>
      <c r="AB13" s="3">
        <v>0.59999999999999964</v>
      </c>
      <c r="AC13" s="3" t="s">
        <v>27</v>
      </c>
      <c r="AD13" s="3">
        <v>0.04</v>
      </c>
      <c r="AE13" s="3">
        <v>0.2</v>
      </c>
      <c r="AF13" s="1"/>
      <c r="AG13" s="1"/>
      <c r="AH13" s="1"/>
      <c r="AI13" s="1" t="s">
        <v>16</v>
      </c>
      <c r="AJ13" s="3">
        <v>0</v>
      </c>
      <c r="AK13" s="3">
        <v>0</v>
      </c>
      <c r="AL13" s="3">
        <v>12</v>
      </c>
      <c r="AM13" s="3">
        <v>12</v>
      </c>
      <c r="AN13" s="3">
        <v>12</v>
      </c>
      <c r="AO13" s="3">
        <v>12</v>
      </c>
      <c r="AP13" s="3">
        <v>0</v>
      </c>
      <c r="AQ13" s="3">
        <v>0</v>
      </c>
      <c r="AR13" s="3">
        <v>0</v>
      </c>
      <c r="AS13" s="1"/>
      <c r="AT13" s="1"/>
      <c r="AU13" s="1"/>
      <c r="AV13" s="1" t="s">
        <v>16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1"/>
    </row>
    <row r="14" spans="2:58" ht="24.95" customHeight="1" x14ac:dyDescent="0.5">
      <c r="B14" s="1"/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1"/>
      <c r="P14" s="1"/>
      <c r="Q14" s="1"/>
      <c r="R14" s="2" t="s">
        <v>17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2:58" ht="24.9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9" spans="3:57" ht="24.95" customHeight="1" x14ac:dyDescent="0.25"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3:57" ht="24.95" customHeight="1" thickBot="1" x14ac:dyDescent="0.4">
      <c r="C20" s="1"/>
      <c r="D20" s="5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R20" s="1"/>
      <c r="S20" s="5" t="s">
        <v>18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4"/>
      <c r="AU20" s="4"/>
      <c r="AV20" s="4"/>
    </row>
    <row r="21" spans="3:57" ht="24.95" customHeight="1" x14ac:dyDescent="0.25">
      <c r="C21" s="1"/>
      <c r="D21" s="7"/>
      <c r="E21" s="8" t="s">
        <v>19</v>
      </c>
      <c r="F21" s="8" t="str">
        <f>H7</f>
        <v>g1</v>
      </c>
      <c r="G21" s="8" t="str">
        <f t="shared" ref="G21:N21" si="0">I7</f>
        <v>g2</v>
      </c>
      <c r="H21" s="8" t="str">
        <f t="shared" si="0"/>
        <v>g3</v>
      </c>
      <c r="I21" s="8" t="str">
        <f t="shared" si="0"/>
        <v>g4</v>
      </c>
      <c r="J21" s="8" t="str">
        <f t="shared" si="0"/>
        <v>g5</v>
      </c>
      <c r="K21" s="8" t="str">
        <f t="shared" si="0"/>
        <v>g6</v>
      </c>
      <c r="L21" s="8" t="str">
        <f t="shared" si="0"/>
        <v>g7</v>
      </c>
      <c r="M21" s="8" t="str">
        <f t="shared" si="0"/>
        <v>g8</v>
      </c>
      <c r="N21" s="9" t="str">
        <f t="shared" si="0"/>
        <v>g9</v>
      </c>
      <c r="O21" s="1"/>
      <c r="R21" s="1"/>
      <c r="S21" s="7"/>
      <c r="T21" s="8" t="s">
        <v>19</v>
      </c>
      <c r="U21" s="8" t="str">
        <f t="shared" ref="U21:AC21" si="1">H7</f>
        <v>g1</v>
      </c>
      <c r="V21" s="8" t="str">
        <f t="shared" si="1"/>
        <v>g2</v>
      </c>
      <c r="W21" s="8" t="str">
        <f t="shared" si="1"/>
        <v>g3</v>
      </c>
      <c r="X21" s="8" t="str">
        <f t="shared" si="1"/>
        <v>g4</v>
      </c>
      <c r="Y21" s="8" t="str">
        <f t="shared" si="1"/>
        <v>g5</v>
      </c>
      <c r="Z21" s="8" t="str">
        <f t="shared" si="1"/>
        <v>g6</v>
      </c>
      <c r="AA21" s="8" t="str">
        <f t="shared" si="1"/>
        <v>g7</v>
      </c>
      <c r="AB21" s="8" t="str">
        <f t="shared" si="1"/>
        <v>g8</v>
      </c>
      <c r="AC21" s="9" t="str">
        <f t="shared" si="1"/>
        <v>g9</v>
      </c>
      <c r="AD21" s="1"/>
      <c r="AH21" s="6"/>
      <c r="AI21" s="10" t="s">
        <v>20</v>
      </c>
      <c r="AJ21" s="11" t="s">
        <v>1</v>
      </c>
      <c r="AK21" s="11" t="s">
        <v>2</v>
      </c>
      <c r="AL21" s="11" t="s">
        <v>3</v>
      </c>
      <c r="AM21" s="11" t="s">
        <v>4</v>
      </c>
      <c r="AN21" s="11" t="s">
        <v>5</v>
      </c>
      <c r="AO21" s="11" t="s">
        <v>6</v>
      </c>
      <c r="AP21" s="11" t="s">
        <v>7</v>
      </c>
      <c r="AQ21" s="11" t="s">
        <v>8</v>
      </c>
      <c r="AR21" s="12" t="s">
        <v>9</v>
      </c>
      <c r="AS21" s="6"/>
      <c r="AT21" s="4"/>
      <c r="AU21" s="4"/>
      <c r="AV21" s="4"/>
    </row>
    <row r="22" spans="3:57" ht="24.95" customHeight="1" x14ac:dyDescent="0.25">
      <c r="C22" s="1"/>
      <c r="D22" s="13" t="str">
        <f t="shared" ref="D22:D27" si="2">G8</f>
        <v>gr1</v>
      </c>
      <c r="E22" s="14">
        <v>1</v>
      </c>
      <c r="F22" s="15">
        <v>0.25</v>
      </c>
      <c r="G22" s="15">
        <v>0.25</v>
      </c>
      <c r="H22" s="15">
        <v>0.25</v>
      </c>
      <c r="I22" s="15">
        <v>0.25</v>
      </c>
      <c r="J22" s="15">
        <v>0.25</v>
      </c>
      <c r="K22" s="15">
        <v>0.25</v>
      </c>
      <c r="L22" s="15">
        <v>0.25</v>
      </c>
      <c r="M22" s="15">
        <v>0.25</v>
      </c>
      <c r="N22" s="16">
        <v>0.25</v>
      </c>
      <c r="O22" s="1"/>
      <c r="R22" s="1"/>
      <c r="S22" s="13" t="str">
        <f t="shared" ref="S22:S27" si="3">G8</f>
        <v>gr1</v>
      </c>
      <c r="T22" s="14">
        <v>1</v>
      </c>
      <c r="U22" s="15">
        <f t="shared" ref="U22:AC27" si="4">H8+$R8+W8+AJ8+AW8</f>
        <v>24</v>
      </c>
      <c r="V22" s="15">
        <f t="shared" si="4"/>
        <v>24</v>
      </c>
      <c r="W22" s="15">
        <f t="shared" si="4"/>
        <v>21</v>
      </c>
      <c r="X22" s="15" t="e">
        <f t="shared" si="4"/>
        <v>#VALUE!</v>
      </c>
      <c r="Y22" s="15">
        <f t="shared" si="4"/>
        <v>15</v>
      </c>
      <c r="Z22" s="15">
        <f t="shared" si="4"/>
        <v>18</v>
      </c>
      <c r="AA22" s="15">
        <f t="shared" si="4"/>
        <v>19.260000000000002</v>
      </c>
      <c r="AB22" s="15" t="e">
        <f t="shared" si="4"/>
        <v>#VALUE!</v>
      </c>
      <c r="AC22" s="16">
        <f t="shared" si="4"/>
        <v>18.88</v>
      </c>
      <c r="AD22" s="1"/>
      <c r="AH22" s="6"/>
      <c r="AI22" s="17" t="s">
        <v>11</v>
      </c>
      <c r="AJ22" s="15">
        <v>-5.7578103996234056</v>
      </c>
      <c r="AK22" s="15">
        <v>-5.7781297881974938</v>
      </c>
      <c r="AL22" s="15">
        <v>-2.7565873016974045</v>
      </c>
      <c r="AM22" s="15" t="s">
        <v>27</v>
      </c>
      <c r="AN22" s="15">
        <v>3.2328073493212264</v>
      </c>
      <c r="AO22" s="15">
        <v>0.23057155973960289</v>
      </c>
      <c r="AP22" s="15">
        <v>-1.0492736791253041</v>
      </c>
      <c r="AQ22" s="15" t="s">
        <v>27</v>
      </c>
      <c r="AR22" s="16">
        <v>-0.64504733698028827</v>
      </c>
      <c r="AS22" s="6"/>
      <c r="AT22" s="4"/>
      <c r="AU22" s="4"/>
      <c r="AV22" s="4"/>
      <c r="AW22">
        <f t="shared" ref="AW22:BE27" si="5">U22+AJ22</f>
        <v>18.242189600376594</v>
      </c>
      <c r="AX22">
        <f t="shared" si="5"/>
        <v>18.221870211802507</v>
      </c>
      <c r="AY22">
        <f t="shared" si="5"/>
        <v>18.243412698302595</v>
      </c>
      <c r="AZ22" t="e">
        <f t="shared" si="5"/>
        <v>#VALUE!</v>
      </c>
      <c r="BA22">
        <f t="shared" si="5"/>
        <v>18.232807349321227</v>
      </c>
      <c r="BB22">
        <f t="shared" si="5"/>
        <v>18.230571559739602</v>
      </c>
      <c r="BC22">
        <f t="shared" si="5"/>
        <v>18.210726320874699</v>
      </c>
      <c r="BD22" t="e">
        <f t="shared" si="5"/>
        <v>#VALUE!</v>
      </c>
      <c r="BE22">
        <f t="shared" si="5"/>
        <v>18.234952663019712</v>
      </c>
    </row>
    <row r="23" spans="3:57" ht="24.95" customHeight="1" x14ac:dyDescent="0.25">
      <c r="C23" s="1"/>
      <c r="D23" s="13" t="str">
        <f t="shared" si="2"/>
        <v>gr2</v>
      </c>
      <c r="E23" s="14">
        <v>2</v>
      </c>
      <c r="F23" s="15">
        <v>0.25</v>
      </c>
      <c r="G23" s="15">
        <v>0.25</v>
      </c>
      <c r="H23" s="15">
        <v>0.25</v>
      </c>
      <c r="I23" s="15">
        <v>0.25</v>
      </c>
      <c r="J23" s="15">
        <v>0.25</v>
      </c>
      <c r="K23" s="15">
        <v>0.25</v>
      </c>
      <c r="L23" s="15">
        <v>0.25</v>
      </c>
      <c r="M23" s="15">
        <v>0.25</v>
      </c>
      <c r="N23" s="16">
        <v>0.25</v>
      </c>
      <c r="O23" s="1"/>
      <c r="R23" s="1"/>
      <c r="S23" s="13" t="str">
        <f t="shared" si="3"/>
        <v>gr2</v>
      </c>
      <c r="T23" s="14">
        <v>2</v>
      </c>
      <c r="U23" s="15">
        <f t="shared" si="4"/>
        <v>20</v>
      </c>
      <c r="V23" s="15">
        <f t="shared" si="4"/>
        <v>2</v>
      </c>
      <c r="W23" s="15" t="e">
        <f t="shared" si="4"/>
        <v>#VALUE!</v>
      </c>
      <c r="X23" s="15" t="e">
        <f t="shared" si="4"/>
        <v>#VALUE!</v>
      </c>
      <c r="Y23" s="15">
        <f t="shared" si="4"/>
        <v>9.8000000000000007</v>
      </c>
      <c r="Z23" s="15">
        <f t="shared" si="4"/>
        <v>13.23</v>
      </c>
      <c r="AA23" s="15">
        <f t="shared" si="4"/>
        <v>12</v>
      </c>
      <c r="AB23" s="15">
        <f t="shared" si="4"/>
        <v>6.3</v>
      </c>
      <c r="AC23" s="16" t="e">
        <f t="shared" si="4"/>
        <v>#VALUE!</v>
      </c>
      <c r="AD23" s="1"/>
      <c r="AH23" s="6"/>
      <c r="AI23" s="17" t="s">
        <v>12</v>
      </c>
      <c r="AJ23" s="15">
        <v>-8.3863123203870664</v>
      </c>
      <c r="AK23" s="15">
        <v>9.4988410868128881</v>
      </c>
      <c r="AL23" s="15" t="s">
        <v>27</v>
      </c>
      <c r="AM23" s="15" t="s">
        <v>27</v>
      </c>
      <c r="AN23" s="15">
        <v>1.5670982576366095</v>
      </c>
      <c r="AO23" s="15">
        <v>-1.8340630162701617</v>
      </c>
      <c r="AP23" s="15">
        <v>-0.71043187236346905</v>
      </c>
      <c r="AQ23" s="15">
        <v>5.2690839707674497</v>
      </c>
      <c r="AR23" s="16" t="s">
        <v>27</v>
      </c>
      <c r="AS23" s="6"/>
      <c r="AT23" s="4"/>
      <c r="AU23" s="4"/>
      <c r="AV23" s="4"/>
      <c r="AW23">
        <f t="shared" si="5"/>
        <v>11.613687679612934</v>
      </c>
      <c r="AX23">
        <f t="shared" si="5"/>
        <v>11.498841086812888</v>
      </c>
      <c r="AY23" t="e">
        <f t="shared" si="5"/>
        <v>#VALUE!</v>
      </c>
      <c r="AZ23" t="e">
        <f t="shared" si="5"/>
        <v>#VALUE!</v>
      </c>
      <c r="BA23">
        <f t="shared" si="5"/>
        <v>11.367098257636609</v>
      </c>
      <c r="BB23">
        <f t="shared" si="5"/>
        <v>11.39593698372984</v>
      </c>
      <c r="BC23">
        <f t="shared" si="5"/>
        <v>11.289568127636532</v>
      </c>
      <c r="BD23">
        <f t="shared" si="5"/>
        <v>11.56908397076745</v>
      </c>
      <c r="BE23" t="e">
        <f t="shared" si="5"/>
        <v>#VALUE!</v>
      </c>
    </row>
    <row r="24" spans="3:57" ht="24.95" customHeight="1" x14ac:dyDescent="0.25">
      <c r="C24" s="1"/>
      <c r="D24" s="13" t="str">
        <f t="shared" si="2"/>
        <v>gr3</v>
      </c>
      <c r="E24" s="14">
        <v>3</v>
      </c>
      <c r="F24" s="15">
        <v>0.25</v>
      </c>
      <c r="G24" s="15">
        <v>0.25</v>
      </c>
      <c r="H24" s="15">
        <v>0.25</v>
      </c>
      <c r="I24" s="15">
        <v>0.25</v>
      </c>
      <c r="J24" s="15">
        <v>0.25</v>
      </c>
      <c r="K24" s="15">
        <v>0.25</v>
      </c>
      <c r="L24" s="15">
        <v>0.25</v>
      </c>
      <c r="M24" s="15">
        <v>0.25</v>
      </c>
      <c r="N24" s="16">
        <v>0.25</v>
      </c>
      <c r="O24" s="1"/>
      <c r="R24" s="1"/>
      <c r="S24" s="13" t="str">
        <f t="shared" si="3"/>
        <v>gr3</v>
      </c>
      <c r="T24" s="14">
        <v>3</v>
      </c>
      <c r="U24" s="15">
        <f t="shared" si="4"/>
        <v>16</v>
      </c>
      <c r="V24" s="15">
        <f t="shared" si="4"/>
        <v>42</v>
      </c>
      <c r="W24" s="15" t="e">
        <f t="shared" si="4"/>
        <v>#VALUE!</v>
      </c>
      <c r="X24" s="15" t="e">
        <f t="shared" si="4"/>
        <v>#VALUE!</v>
      </c>
      <c r="Y24" s="15">
        <f t="shared" si="4"/>
        <v>22.7</v>
      </c>
      <c r="Z24" s="15">
        <f t="shared" si="4"/>
        <v>25.9</v>
      </c>
      <c r="AA24" s="15" t="e">
        <f t="shared" si="4"/>
        <v>#VALUE!</v>
      </c>
      <c r="AB24" s="15">
        <f t="shared" si="4"/>
        <v>22.23</v>
      </c>
      <c r="AC24" s="16">
        <f t="shared" si="4"/>
        <v>27.84</v>
      </c>
      <c r="AD24" s="1"/>
      <c r="AH24" s="6"/>
      <c r="AI24" s="17" t="s">
        <v>13</v>
      </c>
      <c r="AJ24" s="15">
        <v>11.229971389058875</v>
      </c>
      <c r="AK24" s="15">
        <v>-14.675426798215243</v>
      </c>
      <c r="AL24" s="15" t="s">
        <v>27</v>
      </c>
      <c r="AM24" s="15" t="s">
        <v>27</v>
      </c>
      <c r="AN24" s="15">
        <v>4.4743118810062183</v>
      </c>
      <c r="AO24" s="15">
        <v>1.2875062483679955</v>
      </c>
      <c r="AP24" s="15" t="s">
        <v>27</v>
      </c>
      <c r="AQ24" s="15">
        <v>5.0625169737591476</v>
      </c>
      <c r="AR24" s="16">
        <v>-0.56546530880571333</v>
      </c>
      <c r="AS24" s="6"/>
      <c r="AT24" s="4"/>
      <c r="AU24" s="4"/>
      <c r="AV24" s="4"/>
      <c r="AW24">
        <f t="shared" si="5"/>
        <v>27.229971389058875</v>
      </c>
      <c r="AX24">
        <f t="shared" si="5"/>
        <v>27.324573201784759</v>
      </c>
      <c r="AY24" t="e">
        <f t="shared" si="5"/>
        <v>#VALUE!</v>
      </c>
      <c r="AZ24" t="e">
        <f t="shared" si="5"/>
        <v>#VALUE!</v>
      </c>
      <c r="BA24">
        <f t="shared" si="5"/>
        <v>27.174311881006219</v>
      </c>
      <c r="BB24">
        <f t="shared" si="5"/>
        <v>27.187506248367995</v>
      </c>
      <c r="BC24" t="e">
        <f t="shared" si="5"/>
        <v>#VALUE!</v>
      </c>
      <c r="BD24">
        <f t="shared" si="5"/>
        <v>27.292516973759149</v>
      </c>
      <c r="BE24">
        <f t="shared" si="5"/>
        <v>27.274534691194287</v>
      </c>
    </row>
    <row r="25" spans="3:57" ht="24.95" customHeight="1" x14ac:dyDescent="0.25">
      <c r="C25" s="1"/>
      <c r="D25" s="13" t="str">
        <f t="shared" si="2"/>
        <v>gr4</v>
      </c>
      <c r="E25" s="14">
        <v>4</v>
      </c>
      <c r="F25" s="15">
        <v>0.25</v>
      </c>
      <c r="G25" s="15">
        <v>0.25</v>
      </c>
      <c r="H25" s="15">
        <v>0.25</v>
      </c>
      <c r="I25" s="15">
        <v>0.25</v>
      </c>
      <c r="J25" s="15">
        <v>0.25</v>
      </c>
      <c r="K25" s="15">
        <v>0.25</v>
      </c>
      <c r="L25" s="15">
        <v>0.25</v>
      </c>
      <c r="M25" s="15">
        <v>0.25</v>
      </c>
      <c r="N25" s="16">
        <v>0.25</v>
      </c>
      <c r="O25" s="1"/>
      <c r="R25" s="1"/>
      <c r="S25" s="13" t="str">
        <f t="shared" si="3"/>
        <v>gr4</v>
      </c>
      <c r="T25" s="14">
        <v>4</v>
      </c>
      <c r="U25" s="15">
        <f t="shared" si="4"/>
        <v>40</v>
      </c>
      <c r="V25" s="15">
        <f t="shared" si="4"/>
        <v>62</v>
      </c>
      <c r="W25" s="15" t="e">
        <f t="shared" si="4"/>
        <v>#VALUE!</v>
      </c>
      <c r="X25" s="15" t="e">
        <f t="shared" si="4"/>
        <v>#VALUE!</v>
      </c>
      <c r="Y25" s="15">
        <f t="shared" si="4"/>
        <v>43.769999999999996</v>
      </c>
      <c r="Z25" s="15">
        <f t="shared" si="4"/>
        <v>46.980000000000004</v>
      </c>
      <c r="AA25" s="15">
        <f t="shared" si="4"/>
        <v>43.01</v>
      </c>
      <c r="AB25" s="15" t="e">
        <f t="shared" si="4"/>
        <v>#VALUE!</v>
      </c>
      <c r="AC25" s="16">
        <f t="shared" si="4"/>
        <v>43.25</v>
      </c>
      <c r="AD25" s="1"/>
      <c r="AH25" s="6"/>
      <c r="AI25" s="17" t="s">
        <v>14</v>
      </c>
      <c r="AJ25" s="15">
        <v>2.5442869723309873</v>
      </c>
      <c r="AK25" s="15">
        <v>-19.371856266204965</v>
      </c>
      <c r="AL25" s="15" t="s">
        <v>27</v>
      </c>
      <c r="AM25" s="15" t="s">
        <v>27</v>
      </c>
      <c r="AN25" s="15">
        <v>-1.1787516539340879</v>
      </c>
      <c r="AO25" s="15">
        <v>-4.3902117224019959</v>
      </c>
      <c r="AP25" s="15">
        <v>-0.46217777448956748</v>
      </c>
      <c r="AQ25" s="15" t="s">
        <v>27</v>
      </c>
      <c r="AR25" s="16">
        <v>-0.67820850162513524</v>
      </c>
      <c r="AS25" s="6"/>
      <c r="AT25" s="4"/>
      <c r="AU25" s="4"/>
      <c r="AV25" s="4"/>
      <c r="AW25">
        <f t="shared" si="5"/>
        <v>42.544286972330987</v>
      </c>
      <c r="AX25">
        <f t="shared" si="5"/>
        <v>42.628143733795035</v>
      </c>
      <c r="AY25" t="e">
        <f t="shared" si="5"/>
        <v>#VALUE!</v>
      </c>
      <c r="AZ25" t="e">
        <f t="shared" si="5"/>
        <v>#VALUE!</v>
      </c>
      <c r="BA25">
        <f t="shared" si="5"/>
        <v>42.59124834606591</v>
      </c>
      <c r="BB25">
        <f t="shared" si="5"/>
        <v>42.589788277598011</v>
      </c>
      <c r="BC25">
        <f t="shared" si="5"/>
        <v>42.54782222551043</v>
      </c>
      <c r="BD25" t="e">
        <f t="shared" si="5"/>
        <v>#VALUE!</v>
      </c>
      <c r="BE25">
        <f t="shared" si="5"/>
        <v>42.571791498374864</v>
      </c>
    </row>
    <row r="26" spans="3:57" ht="24.95" customHeight="1" x14ac:dyDescent="0.25">
      <c r="C26" s="1"/>
      <c r="D26" s="13" t="str">
        <f t="shared" si="2"/>
        <v>gr5</v>
      </c>
      <c r="E26" s="14">
        <v>5</v>
      </c>
      <c r="F26" s="15">
        <v>0.25</v>
      </c>
      <c r="G26" s="15">
        <v>0.25</v>
      </c>
      <c r="H26" s="15">
        <v>0.25</v>
      </c>
      <c r="I26" s="15">
        <v>0.25</v>
      </c>
      <c r="J26" s="15">
        <v>0.25</v>
      </c>
      <c r="K26" s="15">
        <v>0.25</v>
      </c>
      <c r="L26" s="15">
        <v>0.25</v>
      </c>
      <c r="M26" s="15">
        <v>0.25</v>
      </c>
      <c r="N26" s="16">
        <v>0.25</v>
      </c>
      <c r="O26" s="1"/>
      <c r="R26" s="1"/>
      <c r="S26" s="13" t="str">
        <f t="shared" si="3"/>
        <v>gr5</v>
      </c>
      <c r="T26" s="14">
        <v>5</v>
      </c>
      <c r="U26" s="15">
        <f t="shared" si="4"/>
        <v>1</v>
      </c>
      <c r="V26" s="15">
        <f t="shared" si="4"/>
        <v>11</v>
      </c>
      <c r="W26" s="15" t="e">
        <f t="shared" si="4"/>
        <v>#VALUE!</v>
      </c>
      <c r="X26" s="15" t="e">
        <f t="shared" si="4"/>
        <v>#VALUE!</v>
      </c>
      <c r="Y26" s="15">
        <f t="shared" si="4"/>
        <v>16.259999999999998</v>
      </c>
      <c r="Z26" s="15">
        <f t="shared" si="4"/>
        <v>19.510000000000002</v>
      </c>
      <c r="AA26" s="15">
        <f t="shared" si="4"/>
        <v>23.08</v>
      </c>
      <c r="AB26" s="15">
        <f t="shared" si="4"/>
        <v>17.3</v>
      </c>
      <c r="AC26" s="16" t="e">
        <f t="shared" si="4"/>
        <v>#VALUE!</v>
      </c>
      <c r="AD26" s="1"/>
      <c r="AH26" s="6"/>
      <c r="AI26" s="17" t="s">
        <v>15</v>
      </c>
      <c r="AJ26" s="15">
        <v>21.355891895271633</v>
      </c>
      <c r="AK26" s="15">
        <v>11.371537693470778</v>
      </c>
      <c r="AL26" s="15" t="s">
        <v>27</v>
      </c>
      <c r="AM26" s="15" t="s">
        <v>27</v>
      </c>
      <c r="AN26" s="15">
        <v>5.9662931619942166</v>
      </c>
      <c r="AO26" s="15">
        <v>2.7446667973696486</v>
      </c>
      <c r="AP26" s="15">
        <v>-0.91161415823055636</v>
      </c>
      <c r="AQ26" s="15">
        <v>5.1479235838694821</v>
      </c>
      <c r="AR26" s="16" t="s">
        <v>27</v>
      </c>
      <c r="AS26" s="6"/>
      <c r="AT26" s="4"/>
      <c r="AU26" s="4"/>
      <c r="AV26" s="4"/>
      <c r="AW26">
        <f t="shared" si="5"/>
        <v>22.355891895271633</v>
      </c>
      <c r="AX26">
        <f t="shared" si="5"/>
        <v>22.371537693470778</v>
      </c>
      <c r="AY26" t="e">
        <f t="shared" si="5"/>
        <v>#VALUE!</v>
      </c>
      <c r="AZ26" t="e">
        <f t="shared" si="5"/>
        <v>#VALUE!</v>
      </c>
      <c r="BA26">
        <f t="shared" si="5"/>
        <v>22.226293161994214</v>
      </c>
      <c r="BB26">
        <f t="shared" si="5"/>
        <v>22.254666797369651</v>
      </c>
      <c r="BC26">
        <f t="shared" si="5"/>
        <v>22.168385841769442</v>
      </c>
      <c r="BD26">
        <f t="shared" si="5"/>
        <v>22.447923583869482</v>
      </c>
      <c r="BE26" t="e">
        <f t="shared" si="5"/>
        <v>#VALUE!</v>
      </c>
    </row>
    <row r="27" spans="3:57" ht="24.95" customHeight="1" thickBot="1" x14ac:dyDescent="0.3">
      <c r="C27" s="1"/>
      <c r="D27" s="18" t="str">
        <f t="shared" si="2"/>
        <v>gr6</v>
      </c>
      <c r="E27" s="19">
        <v>6</v>
      </c>
      <c r="F27" s="20">
        <v>0.25</v>
      </c>
      <c r="G27" s="20">
        <v>0.25</v>
      </c>
      <c r="H27" s="20">
        <v>0.25</v>
      </c>
      <c r="I27" s="20">
        <v>0.25</v>
      </c>
      <c r="J27" s="20">
        <v>0.25</v>
      </c>
      <c r="K27" s="20">
        <v>0.25</v>
      </c>
      <c r="L27" s="20">
        <v>0.25</v>
      </c>
      <c r="M27" s="20">
        <v>0.25</v>
      </c>
      <c r="N27" s="21">
        <v>0.25</v>
      </c>
      <c r="O27" s="1"/>
      <c r="R27" s="1"/>
      <c r="S27" s="18" t="str">
        <f t="shared" si="3"/>
        <v>gr6</v>
      </c>
      <c r="T27" s="19">
        <v>6</v>
      </c>
      <c r="U27" s="20">
        <f t="shared" si="4"/>
        <v>16.5</v>
      </c>
      <c r="V27" s="20">
        <f t="shared" si="4"/>
        <v>22</v>
      </c>
      <c r="W27" s="20" t="e">
        <f t="shared" si="4"/>
        <v>#VALUE!</v>
      </c>
      <c r="X27" s="20" t="e">
        <f t="shared" si="4"/>
        <v>#VALUE!</v>
      </c>
      <c r="Y27" s="20">
        <f t="shared" si="4"/>
        <v>21.7</v>
      </c>
      <c r="Z27" s="20">
        <f t="shared" si="4"/>
        <v>25.6</v>
      </c>
      <c r="AA27" s="20" t="e">
        <f t="shared" si="4"/>
        <v>#VALUE!</v>
      </c>
      <c r="AB27" s="20">
        <f t="shared" si="4"/>
        <v>11.04</v>
      </c>
      <c r="AC27" s="21">
        <f t="shared" si="4"/>
        <v>17.2</v>
      </c>
      <c r="AD27" s="1"/>
      <c r="AH27" s="6"/>
      <c r="AI27" s="22" t="s">
        <v>16</v>
      </c>
      <c r="AJ27" s="20">
        <v>-0.10583204803573856</v>
      </c>
      <c r="AK27" s="20">
        <v>-5.6058201168419899</v>
      </c>
      <c r="AL27" s="20" t="s">
        <v>27</v>
      </c>
      <c r="AM27" s="20" t="s">
        <v>27</v>
      </c>
      <c r="AN27" s="20">
        <v>-5.3662799621256418</v>
      </c>
      <c r="AO27" s="20">
        <v>-9.2500898716341435</v>
      </c>
      <c r="AP27" s="20" t="s">
        <v>27</v>
      </c>
      <c r="AQ27" s="20">
        <v>5.3548035845602922</v>
      </c>
      <c r="AR27" s="21">
        <v>-0.81042457708684823</v>
      </c>
      <c r="AS27" s="6"/>
      <c r="AT27" s="4"/>
      <c r="AU27" s="4"/>
      <c r="AV27" s="4"/>
      <c r="AW27">
        <f t="shared" si="5"/>
        <v>16.39416795196426</v>
      </c>
      <c r="AX27">
        <f t="shared" si="5"/>
        <v>16.39417988315801</v>
      </c>
      <c r="AY27" t="e">
        <f t="shared" si="5"/>
        <v>#VALUE!</v>
      </c>
      <c r="AZ27" t="e">
        <f t="shared" si="5"/>
        <v>#VALUE!</v>
      </c>
      <c r="BA27">
        <f t="shared" si="5"/>
        <v>16.333720037874357</v>
      </c>
      <c r="BB27">
        <f t="shared" si="5"/>
        <v>16.349910128365856</v>
      </c>
      <c r="BC27" t="e">
        <f t="shared" si="5"/>
        <v>#VALUE!</v>
      </c>
      <c r="BD27">
        <f t="shared" si="5"/>
        <v>16.394803584560293</v>
      </c>
      <c r="BE27">
        <f t="shared" si="5"/>
        <v>16.389575422913151</v>
      </c>
    </row>
    <row r="28" spans="3:57" ht="24.95" customHeight="1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H28" s="6"/>
      <c r="AI28" s="23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4"/>
      <c r="AU28" s="4"/>
      <c r="AV28" s="4"/>
    </row>
    <row r="29" spans="3:57" ht="24.95" customHeight="1" x14ac:dyDescent="0.25">
      <c r="AT29" s="4"/>
      <c r="AU29" s="4"/>
      <c r="AV29" s="4"/>
    </row>
    <row r="30" spans="3:57" ht="24.95" customHeight="1" thickBot="1" x14ac:dyDescent="0.4">
      <c r="C30" s="1"/>
      <c r="D30" s="5" t="s">
        <v>21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AT30" s="4"/>
      <c r="AU30" s="4"/>
      <c r="AV30" s="4"/>
    </row>
    <row r="31" spans="3:57" ht="24.95" customHeight="1" x14ac:dyDescent="0.25">
      <c r="C31" s="1"/>
      <c r="D31" s="7">
        <v>1</v>
      </c>
      <c r="E31" s="8" t="s">
        <v>22</v>
      </c>
      <c r="F31" s="8" t="str">
        <f>H7</f>
        <v>g1</v>
      </c>
      <c r="G31" s="8" t="str">
        <f t="shared" ref="G31:N31" si="6">I7</f>
        <v>g2</v>
      </c>
      <c r="H31" s="8" t="str">
        <f t="shared" si="6"/>
        <v>g3</v>
      </c>
      <c r="I31" s="8" t="str">
        <f t="shared" si="6"/>
        <v>g4</v>
      </c>
      <c r="J31" s="8" t="str">
        <f t="shared" si="6"/>
        <v>g5</v>
      </c>
      <c r="K31" s="8" t="str">
        <f t="shared" si="6"/>
        <v>g6</v>
      </c>
      <c r="L31" s="8" t="str">
        <f t="shared" si="6"/>
        <v>g7</v>
      </c>
      <c r="M31" s="8" t="str">
        <f t="shared" si="6"/>
        <v>g8</v>
      </c>
      <c r="N31" s="9" t="str">
        <f t="shared" si="6"/>
        <v>g9</v>
      </c>
      <c r="O31" s="1"/>
      <c r="AT31" s="4"/>
      <c r="AU31" s="4"/>
      <c r="AV31" s="4"/>
    </row>
    <row r="32" spans="3:57" ht="24.95" customHeight="1" x14ac:dyDescent="0.25">
      <c r="C32" s="1"/>
      <c r="D32" s="13" t="str">
        <f t="shared" ref="D32:D37" si="7">G8</f>
        <v>gr1</v>
      </c>
      <c r="E32" s="14"/>
      <c r="F32" s="15"/>
      <c r="G32" s="15"/>
      <c r="H32" s="15"/>
      <c r="I32" s="15"/>
      <c r="J32" s="15"/>
      <c r="K32" s="15"/>
      <c r="L32" s="15"/>
      <c r="M32" s="15"/>
      <c r="N32" s="16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T32" s="4"/>
      <c r="AU32" s="4"/>
      <c r="AV32" s="4"/>
    </row>
    <row r="33" spans="3:57" ht="24.95" customHeight="1" x14ac:dyDescent="0.35">
      <c r="C33" s="1"/>
      <c r="D33" s="13" t="str">
        <f t="shared" si="7"/>
        <v>gr2</v>
      </c>
      <c r="E33" s="14"/>
      <c r="F33" s="15"/>
      <c r="G33" s="15"/>
      <c r="H33" s="15"/>
      <c r="I33" s="15"/>
      <c r="J33" s="15"/>
      <c r="K33" s="15"/>
      <c r="L33" s="15"/>
      <c r="M33" s="15"/>
      <c r="N33" s="16"/>
      <c r="O33" s="1"/>
      <c r="Q33" s="1"/>
      <c r="S33" s="5" t="s">
        <v>23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H33" s="5" t="s">
        <v>24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3:57" ht="24.95" customHeight="1" x14ac:dyDescent="0.25">
      <c r="C34" s="1"/>
      <c r="D34" s="13" t="str">
        <f t="shared" si="7"/>
        <v>gr3</v>
      </c>
      <c r="E34" s="14"/>
      <c r="F34" s="15"/>
      <c r="G34" s="15"/>
      <c r="H34" s="15"/>
      <c r="I34" s="15"/>
      <c r="J34" s="15"/>
      <c r="K34" s="15"/>
      <c r="L34" s="15"/>
      <c r="M34" s="15"/>
      <c r="N34" s="16"/>
      <c r="O34" s="1"/>
      <c r="Q34" s="1"/>
      <c r="R34" s="1"/>
      <c r="S34" s="1"/>
      <c r="T34" s="1" t="str">
        <f t="shared" ref="T34:AB34" si="8">U21</f>
        <v>g1</v>
      </c>
      <c r="U34" s="1" t="str">
        <f t="shared" si="8"/>
        <v>g2</v>
      </c>
      <c r="V34" s="1" t="str">
        <f t="shared" si="8"/>
        <v>g3</v>
      </c>
      <c r="W34" s="1" t="str">
        <f t="shared" si="8"/>
        <v>g4</v>
      </c>
      <c r="X34" s="1" t="str">
        <f t="shared" si="8"/>
        <v>g5</v>
      </c>
      <c r="Y34" s="1" t="str">
        <f t="shared" si="8"/>
        <v>g6</v>
      </c>
      <c r="Z34" s="1" t="str">
        <f t="shared" si="8"/>
        <v>g7</v>
      </c>
      <c r="AA34" s="1" t="str">
        <f t="shared" si="8"/>
        <v>g8</v>
      </c>
      <c r="AB34" s="1" t="str">
        <f t="shared" si="8"/>
        <v>g9</v>
      </c>
      <c r="AC34" s="1"/>
      <c r="AD34" s="1"/>
      <c r="AE34" s="1"/>
      <c r="AF34" s="1"/>
      <c r="AG34" s="1"/>
      <c r="AH34" s="1"/>
      <c r="AI34" s="1" t="str">
        <f t="shared" ref="AI34:AQ34" si="9">AJ21</f>
        <v>g1</v>
      </c>
      <c r="AJ34" s="1" t="str">
        <f t="shared" si="9"/>
        <v>g2</v>
      </c>
      <c r="AK34" s="1" t="str">
        <f t="shared" si="9"/>
        <v>g3</v>
      </c>
      <c r="AL34" s="1" t="str">
        <f t="shared" si="9"/>
        <v>g4</v>
      </c>
      <c r="AM34" s="1" t="str">
        <f t="shared" si="9"/>
        <v>g5</v>
      </c>
      <c r="AN34" s="1" t="str">
        <f t="shared" si="9"/>
        <v>g6</v>
      </c>
      <c r="AO34" s="1" t="str">
        <f t="shared" si="9"/>
        <v>g7</v>
      </c>
      <c r="AP34" s="1" t="str">
        <f t="shared" si="9"/>
        <v>g8</v>
      </c>
      <c r="AQ34" s="1" t="str">
        <f t="shared" si="9"/>
        <v>g9</v>
      </c>
      <c r="AR34" s="1"/>
    </row>
    <row r="35" spans="3:57" ht="24.95" customHeight="1" x14ac:dyDescent="0.25">
      <c r="C35" s="1"/>
      <c r="D35" s="13" t="str">
        <f t="shared" si="7"/>
        <v>gr4</v>
      </c>
      <c r="E35" s="14"/>
      <c r="F35" s="15"/>
      <c r="G35" s="15"/>
      <c r="H35" s="15"/>
      <c r="I35" s="15"/>
      <c r="J35" s="15"/>
      <c r="K35" s="15"/>
      <c r="L35" s="15"/>
      <c r="M35" s="15"/>
      <c r="N35" s="16"/>
      <c r="O35" s="1"/>
      <c r="Q35" s="1"/>
      <c r="R35" s="1"/>
      <c r="S35" s="1" t="str">
        <f t="shared" ref="S35:S40" si="10">S22</f>
        <v>gr1</v>
      </c>
      <c r="T35" s="3">
        <f t="shared" ref="T35:AB40" si="11">-(W8+AJ8+AW8-W$8-AJ$8-AW$8)</f>
        <v>0</v>
      </c>
      <c r="U35" s="3">
        <f t="shared" si="11"/>
        <v>0</v>
      </c>
      <c r="V35" s="3">
        <f t="shared" si="11"/>
        <v>0</v>
      </c>
      <c r="W35" s="3" t="e">
        <f t="shared" si="11"/>
        <v>#VALUE!</v>
      </c>
      <c r="X35" s="3">
        <f t="shared" si="11"/>
        <v>0</v>
      </c>
      <c r="Y35" s="3">
        <f t="shared" si="11"/>
        <v>0</v>
      </c>
      <c r="Z35" s="3">
        <f t="shared" si="11"/>
        <v>0</v>
      </c>
      <c r="AA35" s="3" t="e">
        <f t="shared" si="11"/>
        <v>#VALUE!</v>
      </c>
      <c r="AB35" s="3">
        <f t="shared" si="11"/>
        <v>0</v>
      </c>
      <c r="AC35" s="1"/>
      <c r="AD35" s="1"/>
      <c r="AE35" s="1"/>
      <c r="AF35" s="1"/>
      <c r="AG35" s="1"/>
      <c r="AH35" s="1" t="str">
        <f t="shared" ref="AH35:AH40" si="12">AI22</f>
        <v>gr1</v>
      </c>
      <c r="AI35" s="3">
        <f>AJ22-AJ$22</f>
        <v>0</v>
      </c>
      <c r="AJ35" s="3">
        <f t="shared" ref="AJ35:AQ35" si="13">AK22-AK$22</f>
        <v>0</v>
      </c>
      <c r="AK35" s="3">
        <f t="shared" si="13"/>
        <v>0</v>
      </c>
      <c r="AL35" s="3" t="e">
        <f t="shared" si="13"/>
        <v>#VALUE!</v>
      </c>
      <c r="AM35" s="3">
        <f t="shared" si="13"/>
        <v>0</v>
      </c>
      <c r="AN35" s="3">
        <f t="shared" si="13"/>
        <v>0</v>
      </c>
      <c r="AO35" s="3">
        <f t="shared" si="13"/>
        <v>0</v>
      </c>
      <c r="AP35" s="3" t="e">
        <f t="shared" si="13"/>
        <v>#VALUE!</v>
      </c>
      <c r="AQ35" s="3">
        <f t="shared" si="13"/>
        <v>0</v>
      </c>
      <c r="AR35" s="1"/>
      <c r="AW35">
        <f t="shared" ref="AW35:BE40" si="14">T35-AI35</f>
        <v>0</v>
      </c>
      <c r="AX35">
        <f t="shared" si="14"/>
        <v>0</v>
      </c>
      <c r="AY35">
        <f t="shared" si="14"/>
        <v>0</v>
      </c>
      <c r="AZ35" t="e">
        <f t="shared" si="14"/>
        <v>#VALUE!</v>
      </c>
      <c r="BA35">
        <f t="shared" si="14"/>
        <v>0</v>
      </c>
      <c r="BB35">
        <f t="shared" si="14"/>
        <v>0</v>
      </c>
      <c r="BC35">
        <f t="shared" si="14"/>
        <v>0</v>
      </c>
      <c r="BD35" t="e">
        <f t="shared" si="14"/>
        <v>#VALUE!</v>
      </c>
      <c r="BE35">
        <f t="shared" si="14"/>
        <v>0</v>
      </c>
    </row>
    <row r="36" spans="3:57" ht="24.95" customHeight="1" x14ac:dyDescent="0.25">
      <c r="C36" s="1"/>
      <c r="D36" s="13" t="str">
        <f t="shared" si="7"/>
        <v>gr5</v>
      </c>
      <c r="E36" s="14"/>
      <c r="F36" s="15"/>
      <c r="G36" s="15"/>
      <c r="H36" s="15"/>
      <c r="I36" s="15"/>
      <c r="J36" s="15"/>
      <c r="K36" s="15"/>
      <c r="L36" s="15"/>
      <c r="M36" s="15"/>
      <c r="N36" s="16"/>
      <c r="O36" s="1"/>
      <c r="Q36" s="1"/>
      <c r="R36" s="1"/>
      <c r="S36" s="1" t="str">
        <f t="shared" si="10"/>
        <v>gr2</v>
      </c>
      <c r="T36" s="3">
        <f t="shared" si="11"/>
        <v>-3</v>
      </c>
      <c r="U36" s="3">
        <f t="shared" si="11"/>
        <v>15</v>
      </c>
      <c r="V36" s="3" t="e">
        <f t="shared" si="11"/>
        <v>#VALUE!</v>
      </c>
      <c r="W36" s="3" t="e">
        <f t="shared" si="11"/>
        <v>#VALUE!</v>
      </c>
      <c r="X36" s="3">
        <f t="shared" si="11"/>
        <v>-1.7999999999999998</v>
      </c>
      <c r="Y36" s="3">
        <f t="shared" si="11"/>
        <v>-2.2300000000000004</v>
      </c>
      <c r="Z36" s="3">
        <f t="shared" si="11"/>
        <v>0.26</v>
      </c>
      <c r="AA36" s="3" t="e">
        <f t="shared" si="11"/>
        <v>#VALUE!</v>
      </c>
      <c r="AB36" s="3" t="e">
        <f t="shared" si="11"/>
        <v>#VALUE!</v>
      </c>
      <c r="AC36" s="1"/>
      <c r="AD36" s="1"/>
      <c r="AE36" s="1"/>
      <c r="AF36" s="1"/>
      <c r="AG36" s="1"/>
      <c r="AH36" s="1" t="str">
        <f t="shared" si="12"/>
        <v>gr2</v>
      </c>
      <c r="AI36" s="3">
        <f t="shared" ref="AI36:AQ40" si="15">AJ23-AJ$22</f>
        <v>-2.6285019207636608</v>
      </c>
      <c r="AJ36" s="3">
        <f t="shared" si="15"/>
        <v>15.276970875010381</v>
      </c>
      <c r="AK36" s="3" t="e">
        <f t="shared" si="15"/>
        <v>#VALUE!</v>
      </c>
      <c r="AL36" s="3" t="e">
        <f t="shared" si="15"/>
        <v>#VALUE!</v>
      </c>
      <c r="AM36" s="3">
        <f t="shared" si="15"/>
        <v>-1.6657090916846169</v>
      </c>
      <c r="AN36" s="3">
        <f t="shared" si="15"/>
        <v>-2.0646345760097646</v>
      </c>
      <c r="AO36" s="3">
        <f t="shared" si="15"/>
        <v>0.33884180676183506</v>
      </c>
      <c r="AP36" s="3" t="e">
        <f t="shared" si="15"/>
        <v>#VALUE!</v>
      </c>
      <c r="AQ36" s="3" t="e">
        <f t="shared" si="15"/>
        <v>#VALUE!</v>
      </c>
      <c r="AR36" s="1"/>
      <c r="AW36">
        <f t="shared" si="14"/>
        <v>-0.37149807923633915</v>
      </c>
      <c r="AX36">
        <f t="shared" si="14"/>
        <v>-0.27697087501038098</v>
      </c>
      <c r="AY36" t="e">
        <f t="shared" si="14"/>
        <v>#VALUE!</v>
      </c>
      <c r="AZ36" t="e">
        <f t="shared" si="14"/>
        <v>#VALUE!</v>
      </c>
      <c r="BA36">
        <f t="shared" si="14"/>
        <v>-0.13429090831538293</v>
      </c>
      <c r="BB36">
        <f t="shared" si="14"/>
        <v>-0.16536542399023579</v>
      </c>
      <c r="BC36">
        <f t="shared" si="14"/>
        <v>-7.8841806761835054E-2</v>
      </c>
      <c r="BD36" t="e">
        <f t="shared" si="14"/>
        <v>#VALUE!</v>
      </c>
      <c r="BE36" t="e">
        <f t="shared" si="14"/>
        <v>#VALUE!</v>
      </c>
    </row>
    <row r="37" spans="3:57" ht="24.95" customHeight="1" x14ac:dyDescent="0.25">
      <c r="C37" s="1"/>
      <c r="D37" s="13" t="str">
        <f t="shared" si="7"/>
        <v>gr6</v>
      </c>
      <c r="E37" s="14"/>
      <c r="F37" s="15"/>
      <c r="G37" s="15"/>
      <c r="H37" s="15"/>
      <c r="I37" s="15"/>
      <c r="J37" s="15"/>
      <c r="K37" s="15"/>
      <c r="L37" s="15"/>
      <c r="M37" s="15"/>
      <c r="N37" s="16"/>
      <c r="O37" s="1"/>
      <c r="P37" s="1"/>
      <c r="Q37" s="1"/>
      <c r="R37" s="1"/>
      <c r="S37" s="1" t="str">
        <f t="shared" si="10"/>
        <v>gr3</v>
      </c>
      <c r="T37" s="3">
        <f t="shared" si="11"/>
        <v>17</v>
      </c>
      <c r="U37" s="3">
        <f t="shared" si="11"/>
        <v>-9</v>
      </c>
      <c r="V37" s="3" t="e">
        <f t="shared" si="11"/>
        <v>#VALUE!</v>
      </c>
      <c r="W37" s="3" t="e">
        <f t="shared" si="11"/>
        <v>#VALUE!</v>
      </c>
      <c r="X37" s="3">
        <f t="shared" si="11"/>
        <v>1.3000000000000007</v>
      </c>
      <c r="Y37" s="3">
        <f t="shared" si="11"/>
        <v>1.1000000000000001</v>
      </c>
      <c r="Z37" s="3" t="e">
        <f t="shared" si="11"/>
        <v>#VALUE!</v>
      </c>
      <c r="AA37" s="3" t="e">
        <f t="shared" si="11"/>
        <v>#VALUE!</v>
      </c>
      <c r="AB37" s="3">
        <f t="shared" si="11"/>
        <v>4.0000000000000008E-2</v>
      </c>
      <c r="AC37" s="1"/>
      <c r="AD37" s="1"/>
      <c r="AE37" s="1"/>
      <c r="AF37" s="1"/>
      <c r="AG37" s="1"/>
      <c r="AH37" s="1" t="str">
        <f t="shared" si="12"/>
        <v>gr3</v>
      </c>
      <c r="AI37" s="3">
        <f t="shared" si="15"/>
        <v>16.98778178868228</v>
      </c>
      <c r="AJ37" s="3">
        <f t="shared" si="15"/>
        <v>-8.8972970100177484</v>
      </c>
      <c r="AK37" s="3" t="e">
        <f t="shared" si="15"/>
        <v>#VALUE!</v>
      </c>
      <c r="AL37" s="3" t="e">
        <f t="shared" si="15"/>
        <v>#VALUE!</v>
      </c>
      <c r="AM37" s="3">
        <f t="shared" si="15"/>
        <v>1.241504531684992</v>
      </c>
      <c r="AN37" s="3">
        <f t="shared" si="15"/>
        <v>1.0569346886283926</v>
      </c>
      <c r="AO37" s="3" t="e">
        <f t="shared" si="15"/>
        <v>#VALUE!</v>
      </c>
      <c r="AP37" s="3" t="e">
        <f t="shared" si="15"/>
        <v>#VALUE!</v>
      </c>
      <c r="AQ37" s="3">
        <f t="shared" si="15"/>
        <v>7.9582028174574937E-2</v>
      </c>
      <c r="AR37" s="1"/>
      <c r="AW37">
        <f t="shared" si="14"/>
        <v>1.2218211317719607E-2</v>
      </c>
      <c r="AX37">
        <f t="shared" si="14"/>
        <v>-0.10270298998225158</v>
      </c>
      <c r="AY37" t="e">
        <f t="shared" si="14"/>
        <v>#VALUE!</v>
      </c>
      <c r="AZ37" t="e">
        <f t="shared" si="14"/>
        <v>#VALUE!</v>
      </c>
      <c r="BA37">
        <f t="shared" si="14"/>
        <v>5.8495468315008736E-2</v>
      </c>
      <c r="BB37">
        <f t="shared" si="14"/>
        <v>4.3065311371607518E-2</v>
      </c>
      <c r="BC37" t="e">
        <f t="shared" si="14"/>
        <v>#VALUE!</v>
      </c>
      <c r="BD37" t="e">
        <f t="shared" si="14"/>
        <v>#VALUE!</v>
      </c>
      <c r="BE37">
        <f t="shared" si="14"/>
        <v>-3.9582028174574929E-2</v>
      </c>
    </row>
    <row r="38" spans="3:57" ht="24.95" customHeight="1" x14ac:dyDescent="0.25">
      <c r="C38" s="1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24"/>
      <c r="O38" s="1"/>
      <c r="Q38" s="1"/>
      <c r="R38" s="1"/>
      <c r="S38" s="1" t="str">
        <f t="shared" si="10"/>
        <v>gr4</v>
      </c>
      <c r="T38" s="3">
        <f t="shared" si="11"/>
        <v>8</v>
      </c>
      <c r="U38" s="3">
        <f t="shared" si="11"/>
        <v>-14</v>
      </c>
      <c r="V38" s="3" t="e">
        <f t="shared" si="11"/>
        <v>#VALUE!</v>
      </c>
      <c r="W38" s="3" t="e">
        <f t="shared" si="11"/>
        <v>#VALUE!</v>
      </c>
      <c r="X38" s="3">
        <f t="shared" si="11"/>
        <v>-4.7699999999999996</v>
      </c>
      <c r="Y38" s="3">
        <f t="shared" si="11"/>
        <v>-4.9800000000000004</v>
      </c>
      <c r="Z38" s="3">
        <f t="shared" si="11"/>
        <v>0.25</v>
      </c>
      <c r="AA38" s="3" t="e">
        <f t="shared" si="11"/>
        <v>#VALUE!</v>
      </c>
      <c r="AB38" s="3">
        <f t="shared" si="11"/>
        <v>-0.37</v>
      </c>
      <c r="AC38" s="1"/>
      <c r="AD38" s="1"/>
      <c r="AE38" s="1"/>
      <c r="AF38" s="1"/>
      <c r="AG38" s="1"/>
      <c r="AH38" s="1" t="str">
        <f t="shared" si="12"/>
        <v>gr4</v>
      </c>
      <c r="AI38" s="3">
        <f t="shared" si="15"/>
        <v>8.3020973719543925</v>
      </c>
      <c r="AJ38" s="3">
        <f t="shared" si="15"/>
        <v>-13.593726478007472</v>
      </c>
      <c r="AK38" s="3" t="e">
        <f t="shared" si="15"/>
        <v>#VALUE!</v>
      </c>
      <c r="AL38" s="3" t="e">
        <f t="shared" si="15"/>
        <v>#VALUE!</v>
      </c>
      <c r="AM38" s="3">
        <f t="shared" si="15"/>
        <v>-4.4115590032553147</v>
      </c>
      <c r="AN38" s="3">
        <f t="shared" si="15"/>
        <v>-4.6207832821415984</v>
      </c>
      <c r="AO38" s="3">
        <f t="shared" si="15"/>
        <v>0.58709590463573669</v>
      </c>
      <c r="AP38" s="3" t="e">
        <f t="shared" si="15"/>
        <v>#VALUE!</v>
      </c>
      <c r="AQ38" s="3">
        <f t="shared" si="15"/>
        <v>-3.3161164644846974E-2</v>
      </c>
      <c r="AR38" s="1"/>
      <c r="AW38">
        <f t="shared" si="14"/>
        <v>-0.30209737195439246</v>
      </c>
      <c r="AX38">
        <f t="shared" si="14"/>
        <v>-0.40627352199252798</v>
      </c>
      <c r="AY38" t="e">
        <f t="shared" si="14"/>
        <v>#VALUE!</v>
      </c>
      <c r="AZ38" t="e">
        <f t="shared" si="14"/>
        <v>#VALUE!</v>
      </c>
      <c r="BA38">
        <f t="shared" si="14"/>
        <v>-0.35844099674468488</v>
      </c>
      <c r="BB38">
        <f t="shared" si="14"/>
        <v>-0.35921671785840203</v>
      </c>
      <c r="BC38">
        <f t="shared" si="14"/>
        <v>-0.33709590463573669</v>
      </c>
      <c r="BD38" t="e">
        <f t="shared" si="14"/>
        <v>#VALUE!</v>
      </c>
      <c r="BE38">
        <f t="shared" si="14"/>
        <v>-0.33683883535515302</v>
      </c>
    </row>
    <row r="39" spans="3:57" ht="24.95" customHeight="1" x14ac:dyDescent="0.25">
      <c r="C39" s="1"/>
      <c r="D39" s="13"/>
      <c r="E39" s="14" t="s">
        <v>25</v>
      </c>
      <c r="F39" s="14" t="str">
        <f>F31</f>
        <v>g1</v>
      </c>
      <c r="G39" s="14" t="str">
        <f t="shared" ref="G39:N39" si="16">G31</f>
        <v>g2</v>
      </c>
      <c r="H39" s="14" t="str">
        <f t="shared" si="16"/>
        <v>g3</v>
      </c>
      <c r="I39" s="14" t="str">
        <f t="shared" si="16"/>
        <v>g4</v>
      </c>
      <c r="J39" s="14" t="str">
        <f t="shared" si="16"/>
        <v>g5</v>
      </c>
      <c r="K39" s="14" t="str">
        <f t="shared" si="16"/>
        <v>g6</v>
      </c>
      <c r="L39" s="14" t="str">
        <f t="shared" si="16"/>
        <v>g7</v>
      </c>
      <c r="M39" s="14" t="str">
        <f t="shared" si="16"/>
        <v>g8</v>
      </c>
      <c r="N39" s="24" t="str">
        <f t="shared" si="16"/>
        <v>g9</v>
      </c>
      <c r="O39" s="1"/>
      <c r="Q39" s="1"/>
      <c r="R39" s="1"/>
      <c r="S39" s="1" t="str">
        <f t="shared" si="10"/>
        <v>gr5</v>
      </c>
      <c r="T39" s="3">
        <f t="shared" si="11"/>
        <v>27</v>
      </c>
      <c r="U39" s="3">
        <f t="shared" si="11"/>
        <v>17</v>
      </c>
      <c r="V39" s="3" t="e">
        <f t="shared" si="11"/>
        <v>#VALUE!</v>
      </c>
      <c r="W39" s="3" t="e">
        <f t="shared" si="11"/>
        <v>#VALUE!</v>
      </c>
      <c r="X39" s="3">
        <f t="shared" si="11"/>
        <v>2.74</v>
      </c>
      <c r="Y39" s="3">
        <f t="shared" si="11"/>
        <v>2.4900000000000002</v>
      </c>
      <c r="Z39" s="3">
        <f t="shared" si="11"/>
        <v>0.18</v>
      </c>
      <c r="AA39" s="3" t="e">
        <f t="shared" si="11"/>
        <v>#VALUE!</v>
      </c>
      <c r="AB39" s="3" t="e">
        <f t="shared" si="11"/>
        <v>#VALUE!</v>
      </c>
      <c r="AC39" s="1"/>
      <c r="AD39" s="1"/>
      <c r="AE39" s="1"/>
      <c r="AF39" s="1"/>
      <c r="AG39" s="1"/>
      <c r="AH39" s="1" t="str">
        <f t="shared" si="12"/>
        <v>gr5</v>
      </c>
      <c r="AI39" s="3">
        <f t="shared" si="15"/>
        <v>27.113702294895038</v>
      </c>
      <c r="AJ39" s="3">
        <f t="shared" si="15"/>
        <v>17.149667481668271</v>
      </c>
      <c r="AK39" s="3" t="e">
        <f t="shared" si="15"/>
        <v>#VALUE!</v>
      </c>
      <c r="AL39" s="3" t="e">
        <f t="shared" si="15"/>
        <v>#VALUE!</v>
      </c>
      <c r="AM39" s="3">
        <f t="shared" si="15"/>
        <v>2.7334858126729902</v>
      </c>
      <c r="AN39" s="3">
        <f t="shared" si="15"/>
        <v>2.5140952376300456</v>
      </c>
      <c r="AO39" s="3">
        <f t="shared" si="15"/>
        <v>0.13765952089474776</v>
      </c>
      <c r="AP39" s="3" t="e">
        <f t="shared" si="15"/>
        <v>#VALUE!</v>
      </c>
      <c r="AQ39" s="3" t="e">
        <f t="shared" si="15"/>
        <v>#VALUE!</v>
      </c>
      <c r="AR39" s="1"/>
      <c r="AW39">
        <f t="shared" si="14"/>
        <v>-0.11370229489503814</v>
      </c>
      <c r="AX39">
        <f t="shared" si="14"/>
        <v>-0.1496674816682706</v>
      </c>
      <c r="AY39" t="e">
        <f t="shared" si="14"/>
        <v>#VALUE!</v>
      </c>
      <c r="AZ39" t="e">
        <f t="shared" si="14"/>
        <v>#VALUE!</v>
      </c>
      <c r="BA39">
        <f t="shared" si="14"/>
        <v>6.5141873270100348E-3</v>
      </c>
      <c r="BB39">
        <f t="shared" si="14"/>
        <v>-2.4095237630045396E-2</v>
      </c>
      <c r="BC39">
        <f t="shared" si="14"/>
        <v>4.2340479105252238E-2</v>
      </c>
      <c r="BD39" t="e">
        <f t="shared" si="14"/>
        <v>#VALUE!</v>
      </c>
      <c r="BE39" t="e">
        <f t="shared" si="14"/>
        <v>#VALUE!</v>
      </c>
    </row>
    <row r="40" spans="3:57" ht="24.95" customHeight="1" x14ac:dyDescent="0.25">
      <c r="C40" s="1"/>
      <c r="D40" s="13" t="s">
        <v>26</v>
      </c>
      <c r="E40" s="14" t="str">
        <f t="shared" ref="E40:E45" si="17">D32</f>
        <v>gr1</v>
      </c>
      <c r="F40" s="15"/>
      <c r="G40" s="15"/>
      <c r="H40" s="15"/>
      <c r="I40" s="15"/>
      <c r="J40" s="15"/>
      <c r="K40" s="15"/>
      <c r="L40" s="15"/>
      <c r="M40" s="15">
        <v>5</v>
      </c>
      <c r="N40" s="16">
        <v>5</v>
      </c>
      <c r="O40" s="1"/>
      <c r="Q40" s="1"/>
      <c r="R40" s="1"/>
      <c r="S40" s="1" t="str">
        <f t="shared" si="10"/>
        <v>gr6</v>
      </c>
      <c r="T40" s="3">
        <f t="shared" si="11"/>
        <v>5.5</v>
      </c>
      <c r="U40" s="3">
        <f t="shared" si="11"/>
        <v>0</v>
      </c>
      <c r="V40" s="3" t="e">
        <f t="shared" si="11"/>
        <v>#VALUE!</v>
      </c>
      <c r="W40" s="3" t="e">
        <f t="shared" si="11"/>
        <v>#VALUE!</v>
      </c>
      <c r="X40" s="3">
        <f t="shared" si="11"/>
        <v>-8.6999999999999993</v>
      </c>
      <c r="Y40" s="3">
        <f t="shared" si="11"/>
        <v>-9.6</v>
      </c>
      <c r="Z40" s="3" t="e">
        <f t="shared" si="11"/>
        <v>#VALUE!</v>
      </c>
      <c r="AA40" s="3" t="e">
        <f t="shared" si="11"/>
        <v>#VALUE!</v>
      </c>
      <c r="AB40" s="3">
        <f t="shared" si="11"/>
        <v>-0.32</v>
      </c>
      <c r="AC40" s="1"/>
      <c r="AD40" s="1"/>
      <c r="AE40" s="1"/>
      <c r="AF40" s="1"/>
      <c r="AG40" s="1"/>
      <c r="AH40" s="1" t="str">
        <f t="shared" si="12"/>
        <v>gr6</v>
      </c>
      <c r="AI40" s="3">
        <f t="shared" si="15"/>
        <v>5.6519783515876671</v>
      </c>
      <c r="AJ40" s="3">
        <f t="shared" si="15"/>
        <v>0.1723096713555039</v>
      </c>
      <c r="AK40" s="3" t="e">
        <f t="shared" si="15"/>
        <v>#VALUE!</v>
      </c>
      <c r="AL40" s="3" t="e">
        <f t="shared" si="15"/>
        <v>#VALUE!</v>
      </c>
      <c r="AM40" s="3">
        <f t="shared" si="15"/>
        <v>-8.5990873114468691</v>
      </c>
      <c r="AN40" s="3">
        <f t="shared" si="15"/>
        <v>-9.480661431373747</v>
      </c>
      <c r="AO40" s="3" t="e">
        <f t="shared" si="15"/>
        <v>#VALUE!</v>
      </c>
      <c r="AP40" s="3" t="e">
        <f t="shared" si="15"/>
        <v>#VALUE!</v>
      </c>
      <c r="AQ40" s="3">
        <f t="shared" si="15"/>
        <v>-0.16537724010655996</v>
      </c>
      <c r="AR40" s="1"/>
      <c r="AW40">
        <f t="shared" si="14"/>
        <v>-0.15197835158766715</v>
      </c>
      <c r="AX40">
        <f t="shared" si="14"/>
        <v>-0.1723096713555039</v>
      </c>
      <c r="AY40" t="e">
        <f t="shared" si="14"/>
        <v>#VALUE!</v>
      </c>
      <c r="AZ40" t="e">
        <f t="shared" si="14"/>
        <v>#VALUE!</v>
      </c>
      <c r="BA40">
        <f t="shared" si="14"/>
        <v>-0.10091268855313018</v>
      </c>
      <c r="BB40">
        <f t="shared" si="14"/>
        <v>-0.11933856862625269</v>
      </c>
      <c r="BC40" t="e">
        <f t="shared" si="14"/>
        <v>#VALUE!</v>
      </c>
      <c r="BD40" t="e">
        <f t="shared" si="14"/>
        <v>#VALUE!</v>
      </c>
      <c r="BE40">
        <f t="shared" si="14"/>
        <v>-0.15462275989344004</v>
      </c>
    </row>
    <row r="41" spans="3:57" ht="24.95" customHeight="1" x14ac:dyDescent="0.25">
      <c r="C41" s="1"/>
      <c r="D41" s="13" t="s">
        <v>26</v>
      </c>
      <c r="E41" s="14" t="str">
        <f t="shared" si="17"/>
        <v>gr2</v>
      </c>
      <c r="F41" s="15"/>
      <c r="G41" s="15"/>
      <c r="H41" s="15"/>
      <c r="I41" s="15"/>
      <c r="J41" s="15"/>
      <c r="K41" s="15"/>
      <c r="L41" s="15"/>
      <c r="M41" s="15">
        <v>5</v>
      </c>
      <c r="N41" s="16">
        <v>5</v>
      </c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3:57" ht="24.95" customHeight="1" x14ac:dyDescent="0.25">
      <c r="C42" s="1"/>
      <c r="D42" s="13" t="s">
        <v>26</v>
      </c>
      <c r="E42" s="14" t="str">
        <f t="shared" si="17"/>
        <v>gr3</v>
      </c>
      <c r="F42" s="15"/>
      <c r="G42" s="15"/>
      <c r="H42" s="15"/>
      <c r="I42" s="15"/>
      <c r="J42" s="15"/>
      <c r="K42" s="15"/>
      <c r="L42" s="15"/>
      <c r="M42" s="15">
        <v>5</v>
      </c>
      <c r="N42" s="16">
        <v>5</v>
      </c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3:57" ht="24.95" customHeight="1" x14ac:dyDescent="0.25">
      <c r="C43" s="1"/>
      <c r="D43" s="13" t="s">
        <v>26</v>
      </c>
      <c r="E43" s="14" t="str">
        <f t="shared" si="17"/>
        <v>gr4</v>
      </c>
      <c r="F43" s="15"/>
      <c r="G43" s="15"/>
      <c r="H43" s="15"/>
      <c r="I43" s="15"/>
      <c r="J43" s="15"/>
      <c r="K43" s="15"/>
      <c r="L43" s="15"/>
      <c r="M43" s="15">
        <v>5</v>
      </c>
      <c r="N43" s="16">
        <v>5</v>
      </c>
      <c r="O43" s="1"/>
      <c r="Q43" s="1"/>
      <c r="R43" s="1"/>
      <c r="S43" s="1"/>
      <c r="T43" s="1" t="str">
        <f>T34</f>
        <v>g1</v>
      </c>
      <c r="U43" s="1" t="str">
        <f t="shared" ref="U43:AB43" si="18">U34</f>
        <v>g2</v>
      </c>
      <c r="V43" s="1" t="str">
        <f t="shared" si="18"/>
        <v>g3</v>
      </c>
      <c r="W43" s="1" t="str">
        <f t="shared" si="18"/>
        <v>g4</v>
      </c>
      <c r="X43" s="1" t="str">
        <f t="shared" si="18"/>
        <v>g5</v>
      </c>
      <c r="Y43" s="1" t="str">
        <f t="shared" si="18"/>
        <v>g6</v>
      </c>
      <c r="Z43" s="1" t="str">
        <f t="shared" si="18"/>
        <v>g7</v>
      </c>
      <c r="AA43" s="1" t="str">
        <f t="shared" si="18"/>
        <v>g8</v>
      </c>
      <c r="AB43" s="1" t="str">
        <f t="shared" si="18"/>
        <v>g9</v>
      </c>
      <c r="AC43" s="1"/>
      <c r="AD43" s="1"/>
      <c r="AE43" s="1"/>
      <c r="AF43" s="1"/>
      <c r="AG43" s="1"/>
      <c r="AH43" s="1"/>
      <c r="AI43" s="1" t="str">
        <f>AI34</f>
        <v>g1</v>
      </c>
      <c r="AJ43" s="1" t="str">
        <f t="shared" ref="AJ43:AQ43" si="19">AJ34</f>
        <v>g2</v>
      </c>
      <c r="AK43" s="1" t="str">
        <f t="shared" si="19"/>
        <v>g3</v>
      </c>
      <c r="AL43" s="1" t="str">
        <f t="shared" si="19"/>
        <v>g4</v>
      </c>
      <c r="AM43" s="1" t="str">
        <f t="shared" si="19"/>
        <v>g5</v>
      </c>
      <c r="AN43" s="1" t="str">
        <f t="shared" si="19"/>
        <v>g6</v>
      </c>
      <c r="AO43" s="1" t="str">
        <f t="shared" si="19"/>
        <v>g7</v>
      </c>
      <c r="AP43" s="1" t="str">
        <f t="shared" si="19"/>
        <v>g8</v>
      </c>
      <c r="AQ43" s="1" t="str">
        <f t="shared" si="19"/>
        <v>g9</v>
      </c>
      <c r="AR43" s="1"/>
    </row>
    <row r="44" spans="3:57" ht="24.95" customHeight="1" x14ac:dyDescent="0.25">
      <c r="C44" s="1"/>
      <c r="D44" s="13" t="s">
        <v>26</v>
      </c>
      <c r="E44" s="14" t="str">
        <f t="shared" si="17"/>
        <v>gr5</v>
      </c>
      <c r="F44" s="15"/>
      <c r="G44" s="15"/>
      <c r="H44" s="15"/>
      <c r="I44" s="15"/>
      <c r="J44" s="15"/>
      <c r="K44" s="15"/>
      <c r="L44" s="15"/>
      <c r="M44" s="15">
        <v>5</v>
      </c>
      <c r="N44" s="16">
        <v>5</v>
      </c>
      <c r="O44" s="1"/>
      <c r="Q44" s="1"/>
      <c r="R44" s="1"/>
      <c r="S44" s="1" t="str">
        <f>S35</f>
        <v>gr1</v>
      </c>
      <c r="T44" s="3">
        <f t="shared" ref="T44:AB49" si="20">-(W8+AJ8+AW8+H8-$AE$8-$AR$8-$BE$8-$P$8)</f>
        <v>-5.1199999999999992</v>
      </c>
      <c r="U44" s="3">
        <f t="shared" si="20"/>
        <v>-5.1199999999999992</v>
      </c>
      <c r="V44" s="3">
        <f t="shared" si="20"/>
        <v>-2.1199999999999992</v>
      </c>
      <c r="W44" s="3" t="e">
        <f t="shared" si="20"/>
        <v>#VALUE!</v>
      </c>
      <c r="X44" s="3">
        <f t="shared" si="20"/>
        <v>3.88</v>
      </c>
      <c r="Y44" s="3">
        <f t="shared" si="20"/>
        <v>0.87999999999999989</v>
      </c>
      <c r="Z44" s="3">
        <f t="shared" si="20"/>
        <v>-0.37999999999999901</v>
      </c>
      <c r="AA44" s="3" t="e">
        <f t="shared" si="20"/>
        <v>#VALUE!</v>
      </c>
      <c r="AB44" s="3">
        <f>-(AE8+AR8+BE8+P8-$AE$8-$AR$8-$BE$8-$P$8)</f>
        <v>0</v>
      </c>
      <c r="AC44" s="1"/>
      <c r="AD44" s="1"/>
      <c r="AE44" s="1"/>
      <c r="AF44" s="1"/>
      <c r="AG44" s="1"/>
      <c r="AH44" s="1" t="str">
        <f>AH35</f>
        <v>gr1</v>
      </c>
      <c r="AI44" s="3">
        <f t="shared" ref="AI44:AQ49" si="21">AJ22-$AR$22</f>
        <v>-5.1127630626431175</v>
      </c>
      <c r="AJ44" s="3">
        <f t="shared" si="21"/>
        <v>-5.1330824512172057</v>
      </c>
      <c r="AK44" s="3">
        <f t="shared" si="21"/>
        <v>-2.1115399647171165</v>
      </c>
      <c r="AL44" s="3" t="e">
        <f t="shared" si="21"/>
        <v>#VALUE!</v>
      </c>
      <c r="AM44" s="3">
        <f t="shared" si="21"/>
        <v>3.8778546863015144</v>
      </c>
      <c r="AN44" s="3">
        <f t="shared" si="21"/>
        <v>0.87561889671989113</v>
      </c>
      <c r="AO44" s="3">
        <f t="shared" si="21"/>
        <v>-0.40422634214501585</v>
      </c>
      <c r="AP44" s="3" t="e">
        <f t="shared" si="21"/>
        <v>#VALUE!</v>
      </c>
      <c r="AQ44" s="3">
        <f>AR22-$AR$22</f>
        <v>0</v>
      </c>
      <c r="AR44" s="1"/>
    </row>
    <row r="45" spans="3:57" ht="24.95" customHeight="1" thickBot="1" x14ac:dyDescent="0.3">
      <c r="C45" s="1"/>
      <c r="D45" s="18" t="s">
        <v>26</v>
      </c>
      <c r="E45" s="19" t="str">
        <f t="shared" si="17"/>
        <v>gr6</v>
      </c>
      <c r="F45" s="20"/>
      <c r="G45" s="20"/>
      <c r="H45" s="20"/>
      <c r="I45" s="20"/>
      <c r="J45" s="20"/>
      <c r="K45" s="20"/>
      <c r="L45" s="20"/>
      <c r="M45" s="20">
        <v>5</v>
      </c>
      <c r="N45" s="21">
        <v>5</v>
      </c>
      <c r="O45" s="1"/>
      <c r="Q45" s="1"/>
      <c r="R45" s="1"/>
      <c r="S45" s="1" t="str">
        <f t="shared" ref="S45:S49" si="22">S36</f>
        <v>gr2</v>
      </c>
      <c r="T45" s="3">
        <f t="shared" si="20"/>
        <v>-8.120000000000001</v>
      </c>
      <c r="U45" s="3">
        <f t="shared" si="20"/>
        <v>9.879999999999999</v>
      </c>
      <c r="V45" s="3" t="e">
        <f t="shared" si="20"/>
        <v>#VALUE!</v>
      </c>
      <c r="W45" s="3" t="e">
        <f t="shared" si="20"/>
        <v>#VALUE!</v>
      </c>
      <c r="X45" s="3">
        <f t="shared" si="20"/>
        <v>2.08</v>
      </c>
      <c r="Y45" s="3">
        <f t="shared" si="20"/>
        <v>-1.3499999999999996</v>
      </c>
      <c r="Z45" s="3">
        <f t="shared" si="20"/>
        <v>-0.11999999999999922</v>
      </c>
      <c r="AA45" s="3">
        <f t="shared" si="20"/>
        <v>5.58</v>
      </c>
      <c r="AB45" s="3" t="e">
        <f t="shared" si="20"/>
        <v>#VALUE!</v>
      </c>
      <c r="AC45" s="1"/>
      <c r="AD45" s="1"/>
      <c r="AE45" s="1"/>
      <c r="AF45" s="1"/>
      <c r="AG45" s="1"/>
      <c r="AH45" s="1" t="str">
        <f t="shared" ref="AH45:AH49" si="23">AH36</f>
        <v>gr2</v>
      </c>
      <c r="AI45" s="3">
        <f t="shared" si="21"/>
        <v>-7.7412649834067784</v>
      </c>
      <c r="AJ45" s="3">
        <f t="shared" si="21"/>
        <v>10.143888423793177</v>
      </c>
      <c r="AK45" s="3" t="e">
        <f t="shared" si="21"/>
        <v>#VALUE!</v>
      </c>
      <c r="AL45" s="3" t="e">
        <f t="shared" si="21"/>
        <v>#VALUE!</v>
      </c>
      <c r="AM45" s="3">
        <f t="shared" si="21"/>
        <v>2.2121455946168975</v>
      </c>
      <c r="AN45" s="3">
        <f t="shared" si="21"/>
        <v>-1.1890156792898734</v>
      </c>
      <c r="AO45" s="3">
        <f t="shared" si="21"/>
        <v>-6.5384535383180786E-2</v>
      </c>
      <c r="AP45" s="3">
        <f t="shared" si="21"/>
        <v>5.9141313077477378</v>
      </c>
      <c r="AQ45" s="3" t="e">
        <f t="shared" si="21"/>
        <v>#VALUE!</v>
      </c>
      <c r="AR45" s="1"/>
    </row>
    <row r="46" spans="3:57" ht="24.95" customHeight="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1"/>
      <c r="R46" s="1"/>
      <c r="S46" s="1" t="str">
        <f t="shared" si="22"/>
        <v>gr3</v>
      </c>
      <c r="T46" s="3">
        <f t="shared" si="20"/>
        <v>11.879999999999999</v>
      </c>
      <c r="U46" s="3">
        <f t="shared" si="20"/>
        <v>-14.120000000000001</v>
      </c>
      <c r="V46" s="3" t="e">
        <f t="shared" si="20"/>
        <v>#VALUE!</v>
      </c>
      <c r="W46" s="3" t="e">
        <f t="shared" si="20"/>
        <v>#VALUE!</v>
      </c>
      <c r="X46" s="3">
        <f t="shared" si="20"/>
        <v>5.1800000000000006</v>
      </c>
      <c r="Y46" s="3">
        <f t="shared" si="20"/>
        <v>1.9799999999999995</v>
      </c>
      <c r="Z46" s="3" t="e">
        <f t="shared" si="20"/>
        <v>#VALUE!</v>
      </c>
      <c r="AA46" s="3">
        <f t="shared" si="20"/>
        <v>5.65</v>
      </c>
      <c r="AB46" s="3">
        <f t="shared" si="20"/>
        <v>4.0000000000000036E-2</v>
      </c>
      <c r="AC46" s="1"/>
      <c r="AD46" s="1"/>
      <c r="AE46" s="1"/>
      <c r="AF46" s="1"/>
      <c r="AG46" s="1"/>
      <c r="AH46" s="1" t="str">
        <f t="shared" si="23"/>
        <v>gr3</v>
      </c>
      <c r="AI46" s="3">
        <f t="shared" si="21"/>
        <v>11.875018726039164</v>
      </c>
      <c r="AJ46" s="3">
        <f t="shared" si="21"/>
        <v>-14.030379461234954</v>
      </c>
      <c r="AK46" s="3" t="e">
        <f t="shared" si="21"/>
        <v>#VALUE!</v>
      </c>
      <c r="AL46" s="3" t="e">
        <f t="shared" si="21"/>
        <v>#VALUE!</v>
      </c>
      <c r="AM46" s="3">
        <f t="shared" si="21"/>
        <v>5.1193592179865064</v>
      </c>
      <c r="AN46" s="3">
        <f t="shared" si="21"/>
        <v>1.9325535853482838</v>
      </c>
      <c r="AO46" s="3" t="e">
        <f t="shared" si="21"/>
        <v>#VALUE!</v>
      </c>
      <c r="AP46" s="3">
        <f t="shared" si="21"/>
        <v>5.7075643107394356</v>
      </c>
      <c r="AQ46" s="3">
        <f t="shared" si="21"/>
        <v>7.9582028174574937E-2</v>
      </c>
      <c r="AR46" s="1"/>
    </row>
    <row r="47" spans="3:57" ht="24.95" customHeight="1" x14ac:dyDescent="0.25">
      <c r="Q47" s="1"/>
      <c r="R47" s="1"/>
      <c r="S47" s="1" t="str">
        <f t="shared" si="22"/>
        <v>gr4</v>
      </c>
      <c r="T47" s="3">
        <f t="shared" si="20"/>
        <v>2.88</v>
      </c>
      <c r="U47" s="3">
        <f t="shared" si="20"/>
        <v>-19.12</v>
      </c>
      <c r="V47" s="3" t="e">
        <f t="shared" si="20"/>
        <v>#VALUE!</v>
      </c>
      <c r="W47" s="3" t="e">
        <f t="shared" si="20"/>
        <v>#VALUE!</v>
      </c>
      <c r="X47" s="3">
        <f t="shared" si="20"/>
        <v>-0.88999999999999879</v>
      </c>
      <c r="Y47" s="3">
        <f t="shared" si="20"/>
        <v>-4.0999999999999996</v>
      </c>
      <c r="Z47" s="3">
        <f t="shared" si="20"/>
        <v>-0.12999999999999901</v>
      </c>
      <c r="AA47" s="3" t="e">
        <f t="shared" si="20"/>
        <v>#VALUE!</v>
      </c>
      <c r="AB47" s="3">
        <f t="shared" si="20"/>
        <v>-0.36999999999999922</v>
      </c>
      <c r="AC47" s="1"/>
      <c r="AD47" s="1"/>
      <c r="AE47" s="1"/>
      <c r="AF47" s="1"/>
      <c r="AG47" s="1"/>
      <c r="AH47" s="1" t="str">
        <f t="shared" si="23"/>
        <v>gr4</v>
      </c>
      <c r="AI47" s="3">
        <f t="shared" si="21"/>
        <v>3.1893343093112758</v>
      </c>
      <c r="AJ47" s="3">
        <f t="shared" si="21"/>
        <v>-18.726808929224678</v>
      </c>
      <c r="AK47" s="3" t="e">
        <f t="shared" si="21"/>
        <v>#VALUE!</v>
      </c>
      <c r="AL47" s="3" t="e">
        <f t="shared" si="21"/>
        <v>#VALUE!</v>
      </c>
      <c r="AM47" s="3">
        <f t="shared" si="21"/>
        <v>-0.53370431695379961</v>
      </c>
      <c r="AN47" s="3">
        <f t="shared" si="21"/>
        <v>-3.7451643854217078</v>
      </c>
      <c r="AO47" s="3">
        <f t="shared" si="21"/>
        <v>0.18286956249072078</v>
      </c>
      <c r="AP47" s="3" t="e">
        <f t="shared" si="21"/>
        <v>#VALUE!</v>
      </c>
      <c r="AQ47" s="3">
        <f t="shared" si="21"/>
        <v>-3.3161164644846974E-2</v>
      </c>
      <c r="AR47" s="1"/>
    </row>
    <row r="48" spans="3:57" ht="24.95" customHeight="1" x14ac:dyDescent="0.25">
      <c r="Q48" s="1"/>
      <c r="R48" s="1"/>
      <c r="S48" s="1" t="str">
        <f t="shared" si="22"/>
        <v>gr5</v>
      </c>
      <c r="T48" s="3">
        <f t="shared" si="20"/>
        <v>21.880000000000003</v>
      </c>
      <c r="U48" s="3">
        <f t="shared" si="20"/>
        <v>11.879999999999999</v>
      </c>
      <c r="V48" s="3" t="e">
        <f t="shared" si="20"/>
        <v>#VALUE!</v>
      </c>
      <c r="W48" s="3" t="e">
        <f t="shared" si="20"/>
        <v>#VALUE!</v>
      </c>
      <c r="X48" s="3">
        <f t="shared" si="20"/>
        <v>6.62</v>
      </c>
      <c r="Y48" s="3">
        <f t="shared" si="20"/>
        <v>3.37</v>
      </c>
      <c r="Z48" s="3">
        <f t="shared" si="20"/>
        <v>-0.19999999999999929</v>
      </c>
      <c r="AA48" s="3">
        <f t="shared" si="20"/>
        <v>5.58</v>
      </c>
      <c r="AB48" s="3" t="e">
        <f t="shared" si="20"/>
        <v>#VALUE!</v>
      </c>
      <c r="AC48" s="1"/>
      <c r="AD48" s="1"/>
      <c r="AE48" s="1"/>
      <c r="AF48" s="1"/>
      <c r="AG48" s="1"/>
      <c r="AH48" s="1" t="str">
        <f t="shared" si="23"/>
        <v>gr5</v>
      </c>
      <c r="AI48" s="3">
        <f t="shared" si="21"/>
        <v>22.00093923225192</v>
      </c>
      <c r="AJ48" s="3">
        <f t="shared" si="21"/>
        <v>12.016585030451067</v>
      </c>
      <c r="AK48" s="3" t="e">
        <f t="shared" si="21"/>
        <v>#VALUE!</v>
      </c>
      <c r="AL48" s="3" t="e">
        <f t="shared" si="21"/>
        <v>#VALUE!</v>
      </c>
      <c r="AM48" s="3">
        <f t="shared" si="21"/>
        <v>6.6113404989745046</v>
      </c>
      <c r="AN48" s="3">
        <f t="shared" si="21"/>
        <v>3.3897141343499371</v>
      </c>
      <c r="AO48" s="3">
        <f t="shared" si="21"/>
        <v>-0.26656682125026809</v>
      </c>
      <c r="AP48" s="3">
        <f t="shared" si="21"/>
        <v>5.7929709208497702</v>
      </c>
      <c r="AQ48" s="3" t="e">
        <f t="shared" si="21"/>
        <v>#VALUE!</v>
      </c>
      <c r="AR48" s="1"/>
    </row>
    <row r="49" spans="17:44" ht="24.95" customHeight="1" x14ac:dyDescent="0.25">
      <c r="Q49" s="1"/>
      <c r="R49" s="1"/>
      <c r="S49" s="1" t="str">
        <f t="shared" si="22"/>
        <v>gr6</v>
      </c>
      <c r="T49" s="3">
        <f t="shared" si="20"/>
        <v>0.37999999999999989</v>
      </c>
      <c r="U49" s="3">
        <f t="shared" si="20"/>
        <v>-5.1199999999999992</v>
      </c>
      <c r="V49" s="3" t="e">
        <f t="shared" si="20"/>
        <v>#VALUE!</v>
      </c>
      <c r="W49" s="3" t="e">
        <f t="shared" si="20"/>
        <v>#VALUE!</v>
      </c>
      <c r="X49" s="3">
        <f t="shared" si="20"/>
        <v>-4.8199999999999985</v>
      </c>
      <c r="Y49" s="3">
        <f t="shared" si="20"/>
        <v>-8.7200000000000024</v>
      </c>
      <c r="Z49" s="3" t="e">
        <f t="shared" si="20"/>
        <v>#VALUE!</v>
      </c>
      <c r="AA49" s="3">
        <f t="shared" si="20"/>
        <v>5.84</v>
      </c>
      <c r="AB49" s="3">
        <f t="shared" si="20"/>
        <v>-0.31999999999999851</v>
      </c>
      <c r="AC49" s="1"/>
      <c r="AD49" s="1"/>
      <c r="AE49" s="1"/>
      <c r="AF49" s="1"/>
      <c r="AG49" s="1"/>
      <c r="AH49" s="1" t="str">
        <f t="shared" si="23"/>
        <v>gr6</v>
      </c>
      <c r="AI49" s="3">
        <f t="shared" si="21"/>
        <v>0.53921528894454973</v>
      </c>
      <c r="AJ49" s="3">
        <f t="shared" si="21"/>
        <v>-4.9607727798617018</v>
      </c>
      <c r="AK49" s="3" t="e">
        <f t="shared" si="21"/>
        <v>#VALUE!</v>
      </c>
      <c r="AL49" s="3" t="e">
        <f t="shared" si="21"/>
        <v>#VALUE!</v>
      </c>
      <c r="AM49" s="3">
        <f t="shared" si="21"/>
        <v>-4.7212326251453538</v>
      </c>
      <c r="AN49" s="3">
        <f t="shared" si="21"/>
        <v>-8.6050425346538546</v>
      </c>
      <c r="AO49" s="3" t="e">
        <f t="shared" si="21"/>
        <v>#VALUE!</v>
      </c>
      <c r="AP49" s="3">
        <f t="shared" si="21"/>
        <v>5.9998509215405802</v>
      </c>
      <c r="AQ49" s="3">
        <f t="shared" si="21"/>
        <v>-0.16537724010655996</v>
      </c>
      <c r="AR49" s="1"/>
    </row>
    <row r="50" spans="17:44" ht="24.95" customHeight="1" x14ac:dyDescent="0.25"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</sheetData>
  <conditionalFormatting sqref="AI21">
    <cfRule type="colorScale" priority="13">
      <colorScale>
        <cfvo type="num" val="$J$2"/>
        <cfvo type="num" val="0"/>
        <cfvo type="num" val="$L$2"/>
        <color rgb="FF0070C0"/>
        <color theme="0"/>
        <color rgb="FFFF0000"/>
      </colorScale>
    </cfRule>
  </conditionalFormatting>
  <conditionalFormatting sqref="AI28">
    <cfRule type="colorScale" priority="12">
      <colorScale>
        <cfvo type="num" val="$J$2"/>
        <cfvo type="num" val="0"/>
        <cfvo type="num" val="$L$2"/>
        <color rgb="FF0070C0"/>
        <color theme="0"/>
        <color rgb="FFFF0000"/>
      </colorScale>
    </cfRule>
  </conditionalFormatting>
  <conditionalFormatting sqref="U23:AC27 V22:AC22">
    <cfRule type="colorScale" priority="20">
      <colorScale>
        <cfvo type="num" val="$H$4"/>
        <cfvo type="num" val="$I$4"/>
        <color rgb="FF0070C0"/>
        <color rgb="FFFF0000"/>
      </colorScale>
    </cfRule>
  </conditionalFormatting>
  <conditionalFormatting sqref="U22:AC27">
    <cfRule type="colorScale" priority="19">
      <colorScale>
        <cfvo type="num" val="-1E-3"/>
        <cfvo type="num" val="$H$4"/>
        <cfvo type="num" val="$I$4"/>
        <color theme="1"/>
        <color rgb="FF00B0F0"/>
        <color rgb="FFFF0000"/>
      </colorScale>
    </cfRule>
  </conditionalFormatting>
  <conditionalFormatting sqref="H8:P13">
    <cfRule type="colorScale" priority="18">
      <colorScale>
        <cfvo type="min"/>
        <cfvo type="max"/>
        <color rgb="FF00B0F0"/>
        <color rgb="FFFF0000"/>
      </colorScale>
    </cfRule>
  </conditionalFormatting>
  <conditionalFormatting sqref="R8:R13">
    <cfRule type="colorScale" priority="17">
      <colorScale>
        <cfvo type="min"/>
        <cfvo type="max"/>
        <color rgb="FF00B0F0"/>
        <color rgb="FFFF0000"/>
      </colorScale>
    </cfRule>
  </conditionalFormatting>
  <conditionalFormatting sqref="W8:AE13">
    <cfRule type="colorScale" priority="16">
      <colorScale>
        <cfvo type="min"/>
        <cfvo type="max"/>
        <color rgb="FF00B0F0"/>
        <color rgb="FFFF0000"/>
      </colorScale>
    </cfRule>
  </conditionalFormatting>
  <conditionalFormatting sqref="AJ8:AR13">
    <cfRule type="colorScale" priority="15">
      <colorScale>
        <cfvo type="min"/>
        <cfvo type="max"/>
        <color rgb="FF00B0F0"/>
        <color rgb="FFFF0000"/>
      </colorScale>
    </cfRule>
  </conditionalFormatting>
  <conditionalFormatting sqref="AW8:BE13">
    <cfRule type="colorScale" priority="14">
      <colorScale>
        <cfvo type="min"/>
        <cfvo type="max"/>
        <color rgb="FF00B0F0"/>
        <color rgb="FFFF0000"/>
      </colorScale>
    </cfRule>
  </conditionalFormatting>
  <conditionalFormatting sqref="AJ22:AR27">
    <cfRule type="colorScale" priority="11">
      <colorScale>
        <cfvo type="min"/>
        <cfvo type="max"/>
        <color rgb="FF00B0F0"/>
        <color rgb="FFFF0000"/>
      </colorScale>
    </cfRule>
  </conditionalFormatting>
  <conditionalFormatting sqref="T35:AB40">
    <cfRule type="colorScale" priority="10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AI35:AQ40">
    <cfRule type="colorScale" priority="9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F22:N27">
    <cfRule type="colorScale" priority="8">
      <colorScale>
        <cfvo type="min"/>
        <cfvo type="max"/>
        <color rgb="FF00B0F0"/>
        <color rgb="FFFF0000"/>
      </colorScale>
    </cfRule>
  </conditionalFormatting>
  <conditionalFormatting sqref="F40:L45">
    <cfRule type="colorScale" priority="7">
      <colorScale>
        <cfvo type="min"/>
        <cfvo type="max"/>
        <color rgb="FFFF0000"/>
        <color rgb="FF92D050"/>
      </colorScale>
    </cfRule>
  </conditionalFormatting>
  <conditionalFormatting sqref="F32:N37">
    <cfRule type="colorScale" priority="6">
      <colorScale>
        <cfvo type="min"/>
        <cfvo type="max"/>
        <color rgb="FFFF0000"/>
        <color rgb="FF92D050"/>
      </colorScale>
    </cfRule>
  </conditionalFormatting>
  <conditionalFormatting sqref="M40:N45">
    <cfRule type="colorScale" priority="5">
      <colorScale>
        <cfvo type="min"/>
        <cfvo type="max"/>
        <color rgb="FFFF0000"/>
        <color rgb="FF92D050"/>
      </colorScale>
    </cfRule>
  </conditionalFormatting>
  <conditionalFormatting sqref="T44:AB49">
    <cfRule type="colorScale" priority="2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AI44:AQ49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2025-04-04T12:22:15Z</dcterms:modified>
</cp:coreProperties>
</file>